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\Desktop\university\semester 8\Thesis\experiment\"/>
    </mc:Choice>
  </mc:AlternateContent>
  <xr:revisionPtr revIDLastSave="0" documentId="13_ncr:1_{48E7985F-92BF-45EE-8DE3-36BDA480AD11}" xr6:coauthVersionLast="47" xr6:coauthVersionMax="47" xr10:uidLastSave="{00000000-0000-0000-0000-000000000000}"/>
  <bookViews>
    <workbookView xWindow="2280" yWindow="2280" windowWidth="19200" windowHeight="9970" xr2:uid="{00000000-000D-0000-FFFF-FFFF00000000}"/>
  </bookViews>
  <sheets>
    <sheet name="RESULTS" sheetId="2" r:id="rId1"/>
    <sheet name="V=15" sheetId="3" r:id="rId2"/>
    <sheet name="V=20" sheetId="4" r:id="rId3"/>
    <sheet name="V=25" sheetId="5" r:id="rId4"/>
    <sheet name="V=30" sheetId="6" r:id="rId5"/>
    <sheet name="V=35" sheetId="7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89" i="2" l="1"/>
  <c r="BL8" i="2"/>
  <c r="AX8" i="2"/>
  <c r="AX13" i="2"/>
  <c r="BQ7" i="2"/>
  <c r="BP8" i="2"/>
  <c r="BQ9" i="2"/>
  <c r="BQ10" i="2"/>
  <c r="BQ11" i="2"/>
  <c r="BQ12" i="2"/>
  <c r="BQ14" i="2"/>
  <c r="BQ15" i="2"/>
  <c r="BQ16" i="2"/>
  <c r="BQ17" i="2"/>
  <c r="BQ18" i="2"/>
  <c r="BQ28" i="2"/>
  <c r="BQ29" i="2"/>
  <c r="BQ31" i="2"/>
  <c r="BQ32" i="2"/>
  <c r="BQ33" i="2"/>
  <c r="BQ34" i="2"/>
  <c r="BQ36" i="2"/>
  <c r="BQ37" i="2"/>
  <c r="BQ38" i="2"/>
  <c r="BQ40" i="2"/>
  <c r="BQ41" i="2"/>
  <c r="BQ46" i="2"/>
  <c r="BQ49" i="2"/>
  <c r="BQ50" i="2"/>
  <c r="BQ51" i="2"/>
  <c r="BQ53" i="2"/>
  <c r="BQ54" i="2"/>
  <c r="BQ55" i="2"/>
  <c r="BQ56" i="2"/>
  <c r="BQ57" i="2"/>
  <c r="BQ59" i="2"/>
  <c r="BQ64" i="2"/>
  <c r="BQ65" i="2"/>
  <c r="BQ67" i="2"/>
  <c r="BQ68" i="2"/>
  <c r="BQ69" i="2"/>
  <c r="BQ70" i="2"/>
  <c r="BQ72" i="2"/>
  <c r="BQ73" i="2"/>
  <c r="BQ74" i="2"/>
  <c r="BQ75" i="2"/>
  <c r="BQ76" i="2"/>
  <c r="BQ82" i="2"/>
  <c r="BQ85" i="2"/>
  <c r="BQ86" i="2"/>
  <c r="BQ87" i="2"/>
  <c r="BQ88" i="2"/>
  <c r="BQ90" i="2"/>
  <c r="BQ91" i="2"/>
  <c r="BQ92" i="2"/>
  <c r="BQ94" i="2"/>
  <c r="BQ95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P28" i="2"/>
  <c r="BP29" i="2"/>
  <c r="BP31" i="2"/>
  <c r="BP32" i="2"/>
  <c r="BP33" i="2"/>
  <c r="BP34" i="2"/>
  <c r="BP36" i="2"/>
  <c r="BP37" i="2"/>
  <c r="BP38" i="2"/>
  <c r="BP40" i="2"/>
  <c r="BP41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9" i="2"/>
  <c r="BP64" i="2"/>
  <c r="BP65" i="2"/>
  <c r="BP66" i="2"/>
  <c r="BP67" i="2"/>
  <c r="BP68" i="2"/>
  <c r="BP70" i="2"/>
  <c r="BP71" i="2"/>
  <c r="BP72" i="2"/>
  <c r="BP73" i="2"/>
  <c r="BP74" i="2"/>
  <c r="BP75" i="2"/>
  <c r="BP76" i="2"/>
  <c r="BP82" i="2"/>
  <c r="BP85" i="2"/>
  <c r="BP86" i="2"/>
  <c r="BP87" i="2"/>
  <c r="BP88" i="2"/>
  <c r="BP90" i="2"/>
  <c r="BP91" i="2"/>
  <c r="BP92" i="2"/>
  <c r="BP93" i="2"/>
  <c r="BP94" i="2"/>
  <c r="BP95" i="2"/>
  <c r="BP6" i="2"/>
  <c r="BO7" i="2"/>
  <c r="BN8" i="2"/>
  <c r="BO9" i="2"/>
  <c r="BO10" i="2"/>
  <c r="BO11" i="2"/>
  <c r="BO12" i="2"/>
  <c r="BO14" i="2"/>
  <c r="BO15" i="2"/>
  <c r="BO16" i="2"/>
  <c r="BO17" i="2"/>
  <c r="BO18" i="2"/>
  <c r="BO28" i="2"/>
  <c r="BO29" i="2"/>
  <c r="BO31" i="2"/>
  <c r="BO32" i="2"/>
  <c r="BO33" i="2"/>
  <c r="BO34" i="2"/>
  <c r="BO36" i="2"/>
  <c r="BO37" i="2"/>
  <c r="BO38" i="2"/>
  <c r="BO40" i="2"/>
  <c r="BO41" i="2"/>
  <c r="BO46" i="2"/>
  <c r="BO47" i="2"/>
  <c r="BO49" i="2"/>
  <c r="BO50" i="2"/>
  <c r="BO51" i="2"/>
  <c r="BO53" i="2"/>
  <c r="BO54" i="2"/>
  <c r="BO55" i="2"/>
  <c r="BO56" i="2"/>
  <c r="BO57" i="2"/>
  <c r="BO58" i="2"/>
  <c r="BO59" i="2"/>
  <c r="BO64" i="2"/>
  <c r="BO65" i="2"/>
  <c r="BO67" i="2"/>
  <c r="BO68" i="2"/>
  <c r="BO69" i="2"/>
  <c r="BO70" i="2"/>
  <c r="BO72" i="2"/>
  <c r="BO73" i="2"/>
  <c r="BO74" i="2"/>
  <c r="BO75" i="2"/>
  <c r="BO76" i="2"/>
  <c r="BO77" i="2"/>
  <c r="BO82" i="2"/>
  <c r="BO83" i="2"/>
  <c r="BO85" i="2"/>
  <c r="BO86" i="2"/>
  <c r="BO87" i="2"/>
  <c r="BO88" i="2"/>
  <c r="BO90" i="2"/>
  <c r="BO91" i="2"/>
  <c r="BO92" i="2"/>
  <c r="BO94" i="2"/>
  <c r="BO95" i="2"/>
  <c r="BN7" i="2"/>
  <c r="BN9" i="2"/>
  <c r="BN10" i="2"/>
  <c r="BN11" i="2"/>
  <c r="BN12" i="2"/>
  <c r="BN14" i="2"/>
  <c r="BN15" i="2"/>
  <c r="BN16" i="2"/>
  <c r="BN17" i="2"/>
  <c r="BN18" i="2"/>
  <c r="BN28" i="2"/>
  <c r="BN29" i="2"/>
  <c r="BN31" i="2"/>
  <c r="BN32" i="2"/>
  <c r="BN33" i="2"/>
  <c r="BN34" i="2"/>
  <c r="BN36" i="2"/>
  <c r="BN37" i="2"/>
  <c r="BN38" i="2"/>
  <c r="BN40" i="2"/>
  <c r="BN41" i="2"/>
  <c r="BN46" i="2"/>
  <c r="BN49" i="2"/>
  <c r="BN50" i="2"/>
  <c r="BN51" i="2"/>
  <c r="BN53" i="2"/>
  <c r="BN54" i="2"/>
  <c r="BN55" i="2"/>
  <c r="BN56" i="2"/>
  <c r="BN57" i="2"/>
  <c r="BN59" i="2"/>
  <c r="BN64" i="2"/>
  <c r="BN65" i="2"/>
  <c r="BN67" i="2"/>
  <c r="BN68" i="2"/>
  <c r="BN70" i="2"/>
  <c r="BN72" i="2"/>
  <c r="BN73" i="2"/>
  <c r="BN74" i="2"/>
  <c r="BN75" i="2"/>
  <c r="BN76" i="2"/>
  <c r="BN82" i="2"/>
  <c r="BN85" i="2"/>
  <c r="BN86" i="2"/>
  <c r="BN87" i="2"/>
  <c r="BN88" i="2"/>
  <c r="BN90" i="2"/>
  <c r="BN91" i="2"/>
  <c r="BN92" i="2"/>
  <c r="BN94" i="2"/>
  <c r="BN95" i="2"/>
  <c r="BN6" i="2"/>
  <c r="BM7" i="2"/>
  <c r="BM9" i="2"/>
  <c r="BM10" i="2"/>
  <c r="BM11" i="2"/>
  <c r="BM12" i="2"/>
  <c r="BM13" i="2"/>
  <c r="BM14" i="2"/>
  <c r="BM15" i="2"/>
  <c r="BM16" i="2"/>
  <c r="BM17" i="2"/>
  <c r="BM18" i="2"/>
  <c r="BM28" i="2"/>
  <c r="BM29" i="2"/>
  <c r="BM30" i="2"/>
  <c r="BM31" i="2"/>
  <c r="BM32" i="2"/>
  <c r="BM33" i="2"/>
  <c r="BM34" i="2"/>
  <c r="BM35" i="2"/>
  <c r="BM36" i="2"/>
  <c r="BM37" i="2"/>
  <c r="BM38" i="2"/>
  <c r="BM40" i="2"/>
  <c r="BM41" i="2"/>
  <c r="BM46" i="2"/>
  <c r="BM49" i="2"/>
  <c r="BM50" i="2"/>
  <c r="BM51" i="2"/>
  <c r="BM52" i="2"/>
  <c r="BM53" i="2"/>
  <c r="BM54" i="2"/>
  <c r="BM55" i="2"/>
  <c r="BM56" i="2"/>
  <c r="BM57" i="2"/>
  <c r="BM59" i="2"/>
  <c r="BM64" i="2"/>
  <c r="BM65" i="2"/>
  <c r="BM67" i="2"/>
  <c r="BM68" i="2"/>
  <c r="BM69" i="2"/>
  <c r="BM70" i="2"/>
  <c r="BM71" i="2"/>
  <c r="BM72" i="2"/>
  <c r="BM73" i="2"/>
  <c r="BM74" i="2"/>
  <c r="BM75" i="2"/>
  <c r="BM76" i="2"/>
  <c r="BM77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8" i="2"/>
  <c r="BL29" i="2"/>
  <c r="BL30" i="2"/>
  <c r="BL31" i="2"/>
  <c r="BL32" i="2"/>
  <c r="BL33" i="2"/>
  <c r="BL34" i="2"/>
  <c r="BL35" i="2"/>
  <c r="BL36" i="2"/>
  <c r="BL37" i="2"/>
  <c r="BL38" i="2"/>
  <c r="BL40" i="2"/>
  <c r="BL41" i="2"/>
  <c r="BL46" i="2"/>
  <c r="BL47" i="2"/>
  <c r="BL49" i="2"/>
  <c r="BL50" i="2"/>
  <c r="BL51" i="2"/>
  <c r="BL53" i="2"/>
  <c r="BL54" i="2"/>
  <c r="BL55" i="2"/>
  <c r="BL56" i="2"/>
  <c r="BL57" i="2"/>
  <c r="BL59" i="2"/>
  <c r="BL64" i="2"/>
  <c r="BL65" i="2"/>
  <c r="BL66" i="2"/>
  <c r="BL67" i="2"/>
  <c r="BL68" i="2"/>
  <c r="BL70" i="2"/>
  <c r="BL71" i="2"/>
  <c r="BL72" i="2"/>
  <c r="BL73" i="2"/>
  <c r="BL74" i="2"/>
  <c r="BL75" i="2"/>
  <c r="BL76" i="2"/>
  <c r="BL82" i="2"/>
  <c r="BL83" i="2"/>
  <c r="BL85" i="2"/>
  <c r="BL86" i="2"/>
  <c r="BL87" i="2"/>
  <c r="BL88" i="2"/>
  <c r="BL89" i="2"/>
  <c r="BL90" i="2"/>
  <c r="BL91" i="2"/>
  <c r="BL92" i="2"/>
  <c r="BL93" i="2"/>
  <c r="BL94" i="2"/>
  <c r="BL95" i="2"/>
  <c r="BL6" i="2"/>
  <c r="BK7" i="2"/>
  <c r="BJ8" i="2"/>
  <c r="BK9" i="2"/>
  <c r="BK10" i="2"/>
  <c r="BK11" i="2"/>
  <c r="BK12" i="2"/>
  <c r="BK14" i="2"/>
  <c r="BK15" i="2"/>
  <c r="BK16" i="2"/>
  <c r="BK17" i="2"/>
  <c r="BK18" i="2"/>
  <c r="BK28" i="2"/>
  <c r="BK29" i="2"/>
  <c r="BK31" i="2"/>
  <c r="BK32" i="2"/>
  <c r="BK33" i="2"/>
  <c r="BK34" i="2"/>
  <c r="BK36" i="2"/>
  <c r="BK37" i="2"/>
  <c r="BK38" i="2"/>
  <c r="BK40" i="2"/>
  <c r="BK41" i="2"/>
  <c r="BK46" i="2"/>
  <c r="BK47" i="2"/>
  <c r="BK49" i="2"/>
  <c r="BK50" i="2"/>
  <c r="BK51" i="2"/>
  <c r="BK53" i="2"/>
  <c r="BK54" i="2"/>
  <c r="BK55" i="2"/>
  <c r="BK56" i="2"/>
  <c r="BK57" i="2"/>
  <c r="BK59" i="2"/>
  <c r="BK64" i="2"/>
  <c r="BK65" i="2"/>
  <c r="BK67" i="2"/>
  <c r="BK68" i="2"/>
  <c r="BK70" i="2"/>
  <c r="BK72" i="2"/>
  <c r="BK73" i="2"/>
  <c r="BK74" i="2"/>
  <c r="BK75" i="2"/>
  <c r="BK76" i="2"/>
  <c r="BK82" i="2"/>
  <c r="BK83" i="2"/>
  <c r="BK85" i="2"/>
  <c r="BK86" i="2"/>
  <c r="BK87" i="2"/>
  <c r="BK88" i="2"/>
  <c r="BK90" i="2"/>
  <c r="BK91" i="2"/>
  <c r="BK92" i="2"/>
  <c r="BK94" i="2"/>
  <c r="BK95" i="2"/>
  <c r="BK6" i="2"/>
  <c r="BJ7" i="2"/>
  <c r="BJ9" i="2"/>
  <c r="BJ10" i="2"/>
  <c r="BJ11" i="2"/>
  <c r="BJ12" i="2"/>
  <c r="BJ13" i="2"/>
  <c r="BJ14" i="2"/>
  <c r="BJ15" i="2"/>
  <c r="BJ16" i="2"/>
  <c r="BJ17" i="2"/>
  <c r="BJ18" i="2"/>
  <c r="BJ19" i="2"/>
  <c r="BJ28" i="2"/>
  <c r="BJ29" i="2"/>
  <c r="BJ31" i="2"/>
  <c r="BJ32" i="2"/>
  <c r="BJ33" i="2"/>
  <c r="BJ34" i="2"/>
  <c r="BJ35" i="2"/>
  <c r="BJ36" i="2"/>
  <c r="BJ37" i="2"/>
  <c r="BJ38" i="2"/>
  <c r="BJ40" i="2"/>
  <c r="BJ41" i="2"/>
  <c r="BJ46" i="2"/>
  <c r="BJ47" i="2"/>
  <c r="BJ48" i="2"/>
  <c r="BJ49" i="2"/>
  <c r="BJ50" i="2"/>
  <c r="BJ51" i="2"/>
  <c r="BJ53" i="2"/>
  <c r="BJ54" i="2"/>
  <c r="BJ55" i="2"/>
  <c r="BJ56" i="2"/>
  <c r="BJ57" i="2"/>
  <c r="BJ59" i="2"/>
  <c r="BJ64" i="2"/>
  <c r="BJ65" i="2"/>
  <c r="BJ66" i="2"/>
  <c r="BJ67" i="2"/>
  <c r="BJ68" i="2"/>
  <c r="BJ70" i="2"/>
  <c r="BJ71" i="2"/>
  <c r="BJ72" i="2"/>
  <c r="BJ73" i="2"/>
  <c r="BJ74" i="2"/>
  <c r="BJ75" i="2"/>
  <c r="BJ76" i="2"/>
  <c r="BJ82" i="2"/>
  <c r="BJ83" i="2"/>
  <c r="BJ85" i="2"/>
  <c r="BJ86" i="2"/>
  <c r="BJ87" i="2"/>
  <c r="BJ88" i="2"/>
  <c r="BJ89" i="2"/>
  <c r="BJ90" i="2"/>
  <c r="BJ91" i="2"/>
  <c r="BJ92" i="2"/>
  <c r="BJ93" i="2"/>
  <c r="BJ94" i="2"/>
  <c r="BJ95" i="2"/>
  <c r="BJ6" i="2"/>
  <c r="BI7" i="2"/>
  <c r="BI9" i="2"/>
  <c r="BI10" i="2"/>
  <c r="BI11" i="2"/>
  <c r="BI12" i="2"/>
  <c r="BI13" i="2"/>
  <c r="BI14" i="2"/>
  <c r="BI15" i="2"/>
  <c r="BI16" i="2"/>
  <c r="BI17" i="2"/>
  <c r="BI18" i="2"/>
  <c r="BI19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6" i="2"/>
  <c r="BI47" i="2"/>
  <c r="BI49" i="2"/>
  <c r="BI50" i="2"/>
  <c r="BI51" i="2"/>
  <c r="BI52" i="2"/>
  <c r="BI53" i="2"/>
  <c r="BI54" i="2"/>
  <c r="BI55" i="2"/>
  <c r="BI56" i="2"/>
  <c r="BI57" i="2"/>
  <c r="BI58" i="2"/>
  <c r="BI59" i="2"/>
  <c r="BI64" i="2"/>
  <c r="BI65" i="2"/>
  <c r="BI67" i="2"/>
  <c r="BI68" i="2"/>
  <c r="BI69" i="2"/>
  <c r="BI70" i="2"/>
  <c r="BI71" i="2"/>
  <c r="BI72" i="2"/>
  <c r="BI73" i="2"/>
  <c r="BI74" i="2"/>
  <c r="BI75" i="2"/>
  <c r="BI76" i="2"/>
  <c r="BI77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6" i="2"/>
  <c r="BH7" i="2"/>
  <c r="BH9" i="2"/>
  <c r="BH10" i="2"/>
  <c r="BH11" i="2"/>
  <c r="BH12" i="2"/>
  <c r="BH13" i="2"/>
  <c r="BH14" i="2"/>
  <c r="BH15" i="2"/>
  <c r="BH16" i="2"/>
  <c r="BH17" i="2"/>
  <c r="BH18" i="2"/>
  <c r="BH28" i="2"/>
  <c r="BH29" i="2"/>
  <c r="BH31" i="2"/>
  <c r="BH32" i="2"/>
  <c r="BH33" i="2"/>
  <c r="BH34" i="2"/>
  <c r="BH36" i="2"/>
  <c r="BH37" i="2"/>
  <c r="BH38" i="2"/>
  <c r="BH40" i="2"/>
  <c r="BH41" i="2"/>
  <c r="BH46" i="2"/>
  <c r="BH49" i="2"/>
  <c r="BH50" i="2"/>
  <c r="BH51" i="2"/>
  <c r="BH53" i="2"/>
  <c r="BH54" i="2"/>
  <c r="BH55" i="2"/>
  <c r="BH56" i="2"/>
  <c r="BH57" i="2"/>
  <c r="BH58" i="2"/>
  <c r="BH59" i="2"/>
  <c r="BH64" i="2"/>
  <c r="BH65" i="2"/>
  <c r="BH67" i="2"/>
  <c r="BH68" i="2"/>
  <c r="BH70" i="2"/>
  <c r="BH72" i="2"/>
  <c r="BH73" i="2"/>
  <c r="BH74" i="2"/>
  <c r="BH75" i="2"/>
  <c r="BH76" i="2"/>
  <c r="BH82" i="2"/>
  <c r="BH85" i="2"/>
  <c r="BH86" i="2"/>
  <c r="BH87" i="2"/>
  <c r="BH88" i="2"/>
  <c r="BH90" i="2"/>
  <c r="BH91" i="2"/>
  <c r="BH92" i="2"/>
  <c r="BH94" i="2"/>
  <c r="BH95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6" i="2"/>
  <c r="BG47" i="2"/>
  <c r="BG49" i="2"/>
  <c r="BG50" i="2"/>
  <c r="BG51" i="2"/>
  <c r="BG53" i="2"/>
  <c r="BG54" i="2"/>
  <c r="BG55" i="2"/>
  <c r="BG56" i="2"/>
  <c r="BG57" i="2"/>
  <c r="BG58" i="2"/>
  <c r="BG59" i="2"/>
  <c r="BG64" i="2"/>
  <c r="BG65" i="2"/>
  <c r="BG67" i="2"/>
  <c r="BG68" i="2"/>
  <c r="BG69" i="2"/>
  <c r="BG70" i="2"/>
  <c r="BG71" i="2"/>
  <c r="BG72" i="2"/>
  <c r="BG73" i="2"/>
  <c r="BG74" i="2"/>
  <c r="BG75" i="2"/>
  <c r="BG76" i="2"/>
  <c r="BG77" i="2"/>
  <c r="BG82" i="2"/>
  <c r="BG85" i="2"/>
  <c r="BG86" i="2"/>
  <c r="BG87" i="2"/>
  <c r="BG88" i="2"/>
  <c r="BG90" i="2"/>
  <c r="BG91" i="2"/>
  <c r="BG92" i="2"/>
  <c r="BG93" i="2"/>
  <c r="BG94" i="2"/>
  <c r="BG95" i="2"/>
  <c r="BG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8" i="2"/>
  <c r="BF29" i="2"/>
  <c r="BF30" i="2"/>
  <c r="BF31" i="2"/>
  <c r="BF32" i="2"/>
  <c r="BF33" i="2"/>
  <c r="BF34" i="2"/>
  <c r="BF36" i="2"/>
  <c r="BF37" i="2"/>
  <c r="BF38" i="2"/>
  <c r="BF40" i="2"/>
  <c r="BF41" i="2"/>
  <c r="BF46" i="2"/>
  <c r="BF47" i="2"/>
  <c r="BF49" i="2"/>
  <c r="BF50" i="2"/>
  <c r="BF51" i="2"/>
  <c r="BF53" i="2"/>
  <c r="BF54" i="2"/>
  <c r="BF55" i="2"/>
  <c r="BF56" i="2"/>
  <c r="BF57" i="2"/>
  <c r="BF59" i="2"/>
  <c r="BF64" i="2"/>
  <c r="BF65" i="2"/>
  <c r="BF67" i="2"/>
  <c r="BF68" i="2"/>
  <c r="BF70" i="2"/>
  <c r="BF71" i="2"/>
  <c r="BF72" i="2"/>
  <c r="BF73" i="2"/>
  <c r="BF74" i="2"/>
  <c r="BF75" i="2"/>
  <c r="BF76" i="2"/>
  <c r="BF82" i="2"/>
  <c r="BF83" i="2"/>
  <c r="BF85" i="2"/>
  <c r="BF86" i="2"/>
  <c r="BF87" i="2"/>
  <c r="BF88" i="2"/>
  <c r="BF90" i="2"/>
  <c r="BF91" i="2"/>
  <c r="BF92" i="2"/>
  <c r="BF93" i="2"/>
  <c r="BF94" i="2"/>
  <c r="BF95" i="2"/>
  <c r="BF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6" i="2"/>
  <c r="BE47" i="2"/>
  <c r="BE48" i="2"/>
  <c r="BE49" i="2"/>
  <c r="BE50" i="2"/>
  <c r="BE51" i="2"/>
  <c r="BE53" i="2"/>
  <c r="BE54" i="2"/>
  <c r="BE55" i="2"/>
  <c r="BE56" i="2"/>
  <c r="BE57" i="2"/>
  <c r="BE58" i="2"/>
  <c r="BE59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82" i="2"/>
  <c r="BE83" i="2"/>
  <c r="BE85" i="2"/>
  <c r="BE86" i="2"/>
  <c r="BE87" i="2"/>
  <c r="BE88" i="2"/>
  <c r="BE90" i="2"/>
  <c r="BE91" i="2"/>
  <c r="BE92" i="2"/>
  <c r="BE94" i="2"/>
  <c r="BE95" i="2"/>
  <c r="BE6" i="2"/>
  <c r="BD7" i="2"/>
  <c r="BD9" i="2"/>
  <c r="BD10" i="2"/>
  <c r="BD11" i="2"/>
  <c r="BD12" i="2"/>
  <c r="BD13" i="2"/>
  <c r="BD14" i="2"/>
  <c r="BD15" i="2"/>
  <c r="BD16" i="2"/>
  <c r="BD17" i="2"/>
  <c r="BD18" i="2"/>
  <c r="BD19" i="2"/>
  <c r="BD28" i="2"/>
  <c r="BD29" i="2"/>
  <c r="BD31" i="2"/>
  <c r="BD32" i="2"/>
  <c r="BD33" i="2"/>
  <c r="BD34" i="2"/>
  <c r="BD35" i="2"/>
  <c r="BD36" i="2"/>
  <c r="BD37" i="2"/>
  <c r="BD38" i="2"/>
  <c r="BD39" i="2"/>
  <c r="BD40" i="2"/>
  <c r="BD41" i="2"/>
  <c r="BD46" i="2"/>
  <c r="BD49" i="2"/>
  <c r="BD50" i="2"/>
  <c r="BD51" i="2"/>
  <c r="BD52" i="2"/>
  <c r="BD53" i="2"/>
  <c r="BD54" i="2"/>
  <c r="BD55" i="2"/>
  <c r="BD56" i="2"/>
  <c r="BD57" i="2"/>
  <c r="BD58" i="2"/>
  <c r="BD59" i="2"/>
  <c r="BD64" i="2"/>
  <c r="BD65" i="2"/>
  <c r="BD67" i="2"/>
  <c r="BD68" i="2"/>
  <c r="BD69" i="2"/>
  <c r="BD70" i="2"/>
  <c r="BD71" i="2"/>
  <c r="BD72" i="2"/>
  <c r="BD73" i="2"/>
  <c r="BD74" i="2"/>
  <c r="BD75" i="2"/>
  <c r="BD76" i="2"/>
  <c r="BD77" i="2"/>
  <c r="BD82" i="2"/>
  <c r="BD85" i="2"/>
  <c r="BD86" i="2"/>
  <c r="BD87" i="2"/>
  <c r="BD88" i="2"/>
  <c r="BD89" i="2"/>
  <c r="BD90" i="2"/>
  <c r="BD91" i="2"/>
  <c r="BD92" i="2"/>
  <c r="BD93" i="2"/>
  <c r="BD94" i="2"/>
  <c r="BD95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8" i="2"/>
  <c r="BC29" i="2"/>
  <c r="BC30" i="2"/>
  <c r="BC31" i="2"/>
  <c r="BC32" i="2"/>
  <c r="BC33" i="2"/>
  <c r="BC34" i="2"/>
  <c r="BC36" i="2"/>
  <c r="BC37" i="2"/>
  <c r="BC38" i="2"/>
  <c r="BC39" i="2"/>
  <c r="BC40" i="2"/>
  <c r="BC41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82" i="2"/>
  <c r="BC83" i="2"/>
  <c r="BC84" i="2"/>
  <c r="BC85" i="2"/>
  <c r="BC86" i="2"/>
  <c r="BC87" i="2"/>
  <c r="BC88" i="2"/>
  <c r="BC89" i="2"/>
  <c r="BC90" i="2"/>
  <c r="BC91" i="2"/>
  <c r="BC92" i="2"/>
  <c r="BC94" i="2"/>
  <c r="BC95" i="2"/>
  <c r="BC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8" i="2"/>
  <c r="BB29" i="2"/>
  <c r="BB30" i="2"/>
  <c r="BB31" i="2"/>
  <c r="BB32" i="2"/>
  <c r="BB33" i="2"/>
  <c r="BB34" i="2"/>
  <c r="BB35" i="2"/>
  <c r="BB36" i="2"/>
  <c r="BB37" i="2"/>
  <c r="BB38" i="2"/>
  <c r="BB40" i="2"/>
  <c r="BB41" i="2"/>
  <c r="BB46" i="2"/>
  <c r="BB47" i="2"/>
  <c r="BB49" i="2"/>
  <c r="BB50" i="2"/>
  <c r="BB51" i="2"/>
  <c r="BB53" i="2"/>
  <c r="BB54" i="2"/>
  <c r="BB55" i="2"/>
  <c r="BB56" i="2"/>
  <c r="BB57" i="2"/>
  <c r="BB59" i="2"/>
  <c r="BB64" i="2"/>
  <c r="BB65" i="2"/>
  <c r="BB67" i="2"/>
  <c r="BB68" i="2"/>
  <c r="BB70" i="2"/>
  <c r="BB72" i="2"/>
  <c r="BB73" i="2"/>
  <c r="BB74" i="2"/>
  <c r="BB75" i="2"/>
  <c r="BB76" i="2"/>
  <c r="BB82" i="2"/>
  <c r="BB85" i="2"/>
  <c r="BB86" i="2"/>
  <c r="BB87" i="2"/>
  <c r="BB88" i="2"/>
  <c r="BB90" i="2"/>
  <c r="BB91" i="2"/>
  <c r="BB92" i="2"/>
  <c r="BB93" i="2"/>
  <c r="BB94" i="2"/>
  <c r="BB95" i="2"/>
  <c r="BB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8" i="2"/>
  <c r="BA29" i="2"/>
  <c r="BA30" i="2"/>
  <c r="BA31" i="2"/>
  <c r="BA32" i="2"/>
  <c r="BA33" i="2"/>
  <c r="BA34" i="2"/>
  <c r="BA36" i="2"/>
  <c r="BA37" i="2"/>
  <c r="BA38" i="2"/>
  <c r="BA39" i="2"/>
  <c r="BA40" i="2"/>
  <c r="BA41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82" i="2"/>
  <c r="BA83" i="2"/>
  <c r="BA84" i="2"/>
  <c r="BA85" i="2"/>
  <c r="BA86" i="2"/>
  <c r="BA87" i="2"/>
  <c r="BA88" i="2"/>
  <c r="BA89" i="2"/>
  <c r="BA90" i="2"/>
  <c r="BA91" i="2"/>
  <c r="BA92" i="2"/>
  <c r="BA94" i="2"/>
  <c r="BA95" i="2"/>
  <c r="BA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82" i="2"/>
  <c r="AY83" i="2"/>
  <c r="AY84" i="2"/>
  <c r="AY85" i="2"/>
  <c r="AY86" i="2"/>
  <c r="AY87" i="2"/>
  <c r="AY88" i="2"/>
  <c r="AY89" i="2"/>
  <c r="AY90" i="2"/>
  <c r="AY91" i="2"/>
  <c r="AY92" i="2"/>
  <c r="AY94" i="2"/>
  <c r="AY95" i="2"/>
  <c r="AY6" i="2"/>
  <c r="AX7" i="2"/>
  <c r="AX9" i="2"/>
  <c r="AX10" i="2"/>
  <c r="AX11" i="2"/>
  <c r="AX12" i="2"/>
  <c r="AX14" i="2"/>
  <c r="AX15" i="2"/>
  <c r="AX16" i="2"/>
  <c r="AX17" i="2"/>
  <c r="AX18" i="2"/>
  <c r="AX19" i="2"/>
  <c r="AX28" i="2"/>
  <c r="AX29" i="2"/>
  <c r="AX30" i="2"/>
  <c r="AX31" i="2"/>
  <c r="AX32" i="2"/>
  <c r="AX33" i="2"/>
  <c r="AX34" i="2"/>
  <c r="AX36" i="2"/>
  <c r="AX37" i="2"/>
  <c r="AX38" i="2"/>
  <c r="AX39" i="2"/>
  <c r="AX40" i="2"/>
  <c r="AX41" i="2"/>
  <c r="AX46" i="2"/>
  <c r="AX47" i="2"/>
  <c r="AX48" i="2"/>
  <c r="AX49" i="2"/>
  <c r="AX50" i="2"/>
  <c r="AX51" i="2"/>
  <c r="AX53" i="2"/>
  <c r="AX54" i="2"/>
  <c r="AX55" i="2"/>
  <c r="AX56" i="2"/>
  <c r="AX57" i="2"/>
  <c r="AX59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82" i="2"/>
  <c r="AX83" i="2"/>
  <c r="AX84" i="2"/>
  <c r="AX85" i="2"/>
  <c r="AX86" i="2"/>
  <c r="AX87" i="2"/>
  <c r="AX88" i="2"/>
  <c r="AX90" i="2"/>
  <c r="AX91" i="2"/>
  <c r="AX92" i="2"/>
  <c r="AX93" i="2"/>
  <c r="AX94" i="2"/>
  <c r="AX95" i="2"/>
  <c r="AX6" i="2"/>
  <c r="B96" i="2"/>
  <c r="B78" i="2"/>
  <c r="B60" i="2"/>
  <c r="B42" i="2"/>
  <c r="B24" i="2"/>
  <c r="B20" i="2" s="1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6" i="2"/>
  <c r="AU66" i="2"/>
  <c r="AV66" i="2"/>
  <c r="AW6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J8" i="2"/>
  <c r="K8" i="2"/>
  <c r="T8" i="2"/>
  <c r="W8" i="2"/>
  <c r="AA8" i="2"/>
  <c r="AB8" i="2"/>
  <c r="AD8" i="2"/>
  <c r="AE8" i="2"/>
  <c r="AF8" i="2"/>
  <c r="AG8" i="2"/>
  <c r="AH8" i="2"/>
  <c r="AI8" i="2"/>
  <c r="AJ8" i="2"/>
  <c r="AK8" i="2"/>
  <c r="AL8" i="2"/>
  <c r="AM8" i="2"/>
  <c r="AN8" i="2"/>
  <c r="AO8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W95" i="2"/>
  <c r="AV95" i="2"/>
  <c r="AU95" i="2"/>
  <c r="AW94" i="2"/>
  <c r="AV94" i="2"/>
  <c r="AU94" i="2"/>
  <c r="AW93" i="2"/>
  <c r="AV93" i="2"/>
  <c r="AU93" i="2"/>
  <c r="AW92" i="2"/>
  <c r="AV92" i="2"/>
  <c r="AU92" i="2"/>
  <c r="AW91" i="2"/>
  <c r="AV91" i="2"/>
  <c r="AU91" i="2"/>
  <c r="AW90" i="2"/>
  <c r="AV90" i="2"/>
  <c r="AU90" i="2"/>
  <c r="AW89" i="2"/>
  <c r="AV89" i="2"/>
  <c r="AU89" i="2"/>
  <c r="AW88" i="2"/>
  <c r="AV88" i="2"/>
  <c r="AU88" i="2"/>
  <c r="AW87" i="2"/>
  <c r="AV87" i="2"/>
  <c r="AU87" i="2"/>
  <c r="AW86" i="2"/>
  <c r="AV86" i="2"/>
  <c r="AU86" i="2"/>
  <c r="AW85" i="2"/>
  <c r="AV85" i="2"/>
  <c r="AU85" i="2"/>
  <c r="AW84" i="2"/>
  <c r="AV84" i="2"/>
  <c r="AU84" i="2"/>
  <c r="AW83" i="2"/>
  <c r="AV83" i="2"/>
  <c r="AU83" i="2"/>
  <c r="AW82" i="2"/>
  <c r="AV82" i="2"/>
  <c r="AU82" i="2"/>
  <c r="AW77" i="2"/>
  <c r="AV77" i="2"/>
  <c r="AU77" i="2"/>
  <c r="AW76" i="2"/>
  <c r="AV76" i="2"/>
  <c r="AU76" i="2"/>
  <c r="AW75" i="2"/>
  <c r="AV75" i="2"/>
  <c r="AU75" i="2"/>
  <c r="AW74" i="2"/>
  <c r="AV74" i="2"/>
  <c r="AU74" i="2"/>
  <c r="AW73" i="2"/>
  <c r="AV73" i="2"/>
  <c r="AU73" i="2"/>
  <c r="AW72" i="2"/>
  <c r="AV72" i="2"/>
  <c r="AU72" i="2"/>
  <c r="AW71" i="2"/>
  <c r="AV71" i="2"/>
  <c r="AU71" i="2"/>
  <c r="AW70" i="2"/>
  <c r="AV70" i="2"/>
  <c r="AU70" i="2"/>
  <c r="AW69" i="2"/>
  <c r="AV69" i="2"/>
  <c r="AU69" i="2"/>
  <c r="AW68" i="2"/>
  <c r="AV68" i="2"/>
  <c r="AU68" i="2"/>
  <c r="AW67" i="2"/>
  <c r="AV67" i="2"/>
  <c r="AU67" i="2"/>
  <c r="AW65" i="2"/>
  <c r="AV65" i="2"/>
  <c r="AU65" i="2"/>
  <c r="AW64" i="2"/>
  <c r="AV64" i="2"/>
  <c r="AU64" i="2"/>
  <c r="AW59" i="2"/>
  <c r="AV59" i="2"/>
  <c r="AU59" i="2"/>
  <c r="AW58" i="2"/>
  <c r="AV58" i="2"/>
  <c r="AU58" i="2"/>
  <c r="AW57" i="2"/>
  <c r="AV57" i="2"/>
  <c r="AU57" i="2"/>
  <c r="AW56" i="2"/>
  <c r="AV56" i="2"/>
  <c r="AU56" i="2"/>
  <c r="AW55" i="2"/>
  <c r="AV55" i="2"/>
  <c r="AU55" i="2"/>
  <c r="AW54" i="2"/>
  <c r="AV54" i="2"/>
  <c r="AU54" i="2"/>
  <c r="AW53" i="2"/>
  <c r="AV53" i="2"/>
  <c r="AU53" i="2"/>
  <c r="AW52" i="2"/>
  <c r="AV52" i="2"/>
  <c r="AU52" i="2"/>
  <c r="AW51" i="2"/>
  <c r="AV51" i="2"/>
  <c r="AU51" i="2"/>
  <c r="AW50" i="2"/>
  <c r="AV50" i="2"/>
  <c r="AU50" i="2"/>
  <c r="AW49" i="2"/>
  <c r="AV49" i="2"/>
  <c r="AU49" i="2"/>
  <c r="CA21" i="2"/>
  <c r="AW48" i="2"/>
  <c r="AV48" i="2"/>
  <c r="AU48" i="2"/>
  <c r="CA20" i="2"/>
  <c r="AW47" i="2"/>
  <c r="AV47" i="2"/>
  <c r="AU47" i="2"/>
  <c r="CA19" i="2"/>
  <c r="AW46" i="2"/>
  <c r="AV46" i="2"/>
  <c r="AU46" i="2"/>
  <c r="CA18" i="2"/>
  <c r="CA17" i="2"/>
  <c r="CA16" i="2"/>
  <c r="CA15" i="2"/>
  <c r="CA14" i="2"/>
  <c r="AW41" i="2"/>
  <c r="AV41" i="2"/>
  <c r="AU41" i="2"/>
  <c r="CA13" i="2"/>
  <c r="AW40" i="2"/>
  <c r="AV40" i="2"/>
  <c r="AU40" i="2"/>
  <c r="CA12" i="2"/>
  <c r="AW39" i="2"/>
  <c r="AV39" i="2"/>
  <c r="AU39" i="2"/>
  <c r="CA11" i="2"/>
  <c r="AW38" i="2"/>
  <c r="AV38" i="2"/>
  <c r="AU38" i="2"/>
  <c r="CA10" i="2"/>
  <c r="AW37" i="2"/>
  <c r="AV37" i="2"/>
  <c r="AU37" i="2"/>
  <c r="CA9" i="2"/>
  <c r="AW36" i="2"/>
  <c r="AV36" i="2"/>
  <c r="AU36" i="2"/>
  <c r="CA8" i="2"/>
  <c r="AW35" i="2"/>
  <c r="AV35" i="2"/>
  <c r="AU35" i="2"/>
  <c r="CA7" i="2"/>
  <c r="AW34" i="2"/>
  <c r="AV34" i="2"/>
  <c r="AU34" i="2"/>
  <c r="CA6" i="2"/>
  <c r="AW33" i="2"/>
  <c r="AV33" i="2"/>
  <c r="AU33" i="2"/>
  <c r="CA5" i="2"/>
  <c r="AW32" i="2"/>
  <c r="AV32" i="2"/>
  <c r="AU32" i="2"/>
  <c r="CA4" i="2"/>
  <c r="AW31" i="2"/>
  <c r="AV31" i="2"/>
  <c r="AU31" i="2"/>
  <c r="CA3" i="2"/>
  <c r="AW30" i="2"/>
  <c r="AV30" i="2"/>
  <c r="AU30" i="2"/>
  <c r="CA2" i="2"/>
  <c r="AW29" i="2"/>
  <c r="AV29" i="2"/>
  <c r="AU29" i="2"/>
  <c r="AW28" i="2"/>
  <c r="AV28" i="2"/>
  <c r="AU28" i="2"/>
  <c r="AW19" i="2"/>
  <c r="AV19" i="2"/>
  <c r="AU19" i="2"/>
  <c r="AW18" i="2"/>
  <c r="AV18" i="2"/>
  <c r="AU18" i="2"/>
  <c r="AW17" i="2"/>
  <c r="AV17" i="2"/>
  <c r="AU17" i="2"/>
  <c r="AW16" i="2"/>
  <c r="AV16" i="2"/>
  <c r="AU16" i="2"/>
  <c r="AW15" i="2"/>
  <c r="AV15" i="2"/>
  <c r="AU15" i="2"/>
  <c r="AW14" i="2"/>
  <c r="AV14" i="2"/>
  <c r="AU14" i="2"/>
  <c r="AW13" i="2"/>
  <c r="AV13" i="2"/>
  <c r="AU13" i="2"/>
  <c r="AW12" i="2"/>
  <c r="AV12" i="2"/>
  <c r="AU12" i="2"/>
  <c r="AW11" i="2"/>
  <c r="AV11" i="2"/>
  <c r="AU11" i="2"/>
  <c r="AW10" i="2"/>
  <c r="AV10" i="2"/>
  <c r="AU10" i="2"/>
  <c r="AW9" i="2"/>
  <c r="AV9" i="2"/>
  <c r="AU9" i="2"/>
  <c r="AW8" i="2"/>
  <c r="AV8" i="2"/>
  <c r="AU8" i="2"/>
  <c r="AW7" i="2"/>
  <c r="AV7" i="2"/>
  <c r="AU7" i="2"/>
  <c r="AW6" i="2"/>
  <c r="AV6" i="2"/>
  <c r="AU6" i="2"/>
</calcChain>
</file>

<file path=xl/sharedStrings.xml><?xml version="1.0" encoding="utf-8"?>
<sst xmlns="http://schemas.openxmlformats.org/spreadsheetml/2006/main" count="221" uniqueCount="104">
  <si>
    <t>AF1600t Balance</t>
  </si>
  <si>
    <t>AFA4 Encoder Input</t>
  </si>
  <si>
    <t>DP6 Digital Pressure Display</t>
  </si>
  <si>
    <t>AFA6 Multi-Channel Pressure System</t>
  </si>
  <si>
    <t>Operating Conditions</t>
  </si>
  <si>
    <t>Lift</t>
  </si>
  <si>
    <t>Drag</t>
  </si>
  <si>
    <t>Pitching Moment</t>
  </si>
  <si>
    <t>Angle</t>
  </si>
  <si>
    <t>Normalised Angle</t>
  </si>
  <si>
    <r>
      <rPr>
        <sz val="11"/>
        <rFont val="Segoe UI"/>
      </rPr>
      <t>Pressure</t>
    </r>
    <r>
      <rPr>
        <sz val="11"/>
        <color rgb="FF000000"/>
        <rFont val="Segoe UI"/>
      </rPr>
      <t> </t>
    </r>
    <r>
      <rPr>
        <sz val="11"/>
        <color rgb="FF000000"/>
        <rFont val="Segoe UI"/>
      </rPr>
      <t>Front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> </t>
    </r>
    <r>
      <rPr>
        <i/>
        <sz val="11"/>
        <color rgb="FF000000"/>
        <rFont val="Segoe UI"/>
      </rPr>
      <t>P1</t>
    </r>
  </si>
  <si>
    <r>
      <rPr>
        <sz val="11"/>
        <rFont val="Segoe UI"/>
      </rPr>
      <t>Pressure</t>
    </r>
    <r>
      <rPr>
        <sz val="11"/>
        <color rgb="FF000000"/>
        <rFont val="Segoe UI"/>
      </rPr>
      <t> </t>
    </r>
    <r>
      <rPr>
        <sz val="11"/>
        <color rgb="FF000000"/>
        <rFont val="Segoe UI"/>
      </rPr>
      <t>Back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> </t>
    </r>
    <r>
      <rPr>
        <i/>
        <sz val="11"/>
        <color rgb="FF000000"/>
        <rFont val="Segoe UI"/>
      </rPr>
      <t>P2</t>
    </r>
  </si>
  <si>
    <r>
      <rPr>
        <sz val="11"/>
        <rFont val="Segoe UI"/>
      </rPr>
      <t>Atmospheric</t>
    </r>
    <r>
      <rPr>
        <sz val="11"/>
        <color rgb="FF000000"/>
        <rFont val="Segoe UI"/>
      </rPr>
      <t> </t>
    </r>
    <r>
      <rPr>
        <sz val="11"/>
        <color rgb="FF000000"/>
        <rFont val="Segoe UI"/>
      </rPr>
      <t>Pressure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> </t>
    </r>
    <r>
      <rPr>
        <i/>
        <sz val="11"/>
        <color rgb="FF000000"/>
        <rFont val="Segoe UI"/>
      </rPr>
      <t>P4</t>
    </r>
  </si>
  <si>
    <t>Pressures (kPa)</t>
  </si>
  <si>
    <t>Atmospheric Temperature</t>
  </si>
  <si>
    <t>Ambient Air Density</t>
  </si>
  <si>
    <t>Wind Speed Front</t>
  </si>
  <si>
    <t>Wind Speed Back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</si>
  <si>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</si>
  <si>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</si>
  <si>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</si>
  <si>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</si>
  <si>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</si>
  <si>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</si>
  <si>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</si>
  <si>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</si>
  <si>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</si>
  <si>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</si>
  <si>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</si>
  <si>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</si>
  <si>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</si>
  <si>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</si>
  <si>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</si>
  <si>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</si>
  <si>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</si>
  <si>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</si>
  <si>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</si>
  <si>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</si>
  <si>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</si>
  <si>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</si>
  <si>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</si>
  <si>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</si>
  <si>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</si>
  <si>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</si>
  <si>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</si>
  <si>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</si>
  <si>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</si>
  <si>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</si>
  <si>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</si>
  <si>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</si>
  <si>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(s)</t>
  </si>
  <si>
    <t>(N)</t>
  </si>
  <si>
    <t>(Nm)</t>
  </si>
  <si>
    <t>(°)</t>
  </si>
  <si>
    <t>(Pa)</t>
  </si>
  <si>
    <t>(kPa)</t>
  </si>
  <si>
    <t>kPa</t>
  </si>
  <si>
    <r>
      <rPr>
        <sz val="11"/>
        <rFont val="Segoe UI"/>
      </rPr>
      <t>(</t>
    </r>
    <r>
      <rPr>
        <sz val="11"/>
        <color rgb="FF000000"/>
        <rFont val="Symbol"/>
      </rPr>
      <t>°</t>
    </r>
    <r>
      <rPr>
        <sz val="11"/>
        <color rgb="FF000000"/>
        <rFont val="Segoe UI"/>
      </rPr>
      <t>C)</t>
    </r>
  </si>
  <si>
    <r>
      <rPr>
        <sz val="11"/>
        <rFont val="Segoe UI"/>
      </rPr>
      <t>(kg.m</t>
    </r>
    <r>
      <rPr>
        <vertAlign val="superscript"/>
        <sz val="11"/>
        <color rgb="FF000000"/>
        <rFont val="Segoe UI"/>
      </rPr>
      <t>-3</t>
    </r>
    <r>
      <rPr>
        <sz val="11"/>
        <color rgb="FF000000"/>
        <rFont val="Segoe UI"/>
      </rPr>
      <t>)</t>
    </r>
  </si>
  <si>
    <r>
      <rPr>
        <sz val="11"/>
        <rFont val="Segoe UI"/>
      </rPr>
      <t>(m.s</t>
    </r>
    <r>
      <rPr>
        <vertAlign val="superscript"/>
        <sz val="11"/>
        <color rgb="FF000000"/>
        <rFont val="Segoe UI"/>
      </rPr>
      <t>-1</t>
    </r>
    <r>
      <rPr>
        <sz val="11"/>
        <color rgb="FF000000"/>
        <rFont val="Segoe UI"/>
      </rPr>
      <t>)</t>
    </r>
  </si>
  <si>
    <t xml:space="preserve">time </t>
  </si>
  <si>
    <t>V=15m/s</t>
  </si>
  <si>
    <t>V=20m/s</t>
  </si>
  <si>
    <t>V=25 m/s</t>
  </si>
  <si>
    <t>V=30 m/s</t>
  </si>
  <si>
    <t>V=35 m/s</t>
  </si>
  <si>
    <t>Lift Coefficient CL</t>
  </si>
  <si>
    <t>Drag Coefficient CD</t>
  </si>
  <si>
    <t>Moment Coefficient</t>
  </si>
  <si>
    <t>CL</t>
  </si>
  <si>
    <t>CD</t>
  </si>
  <si>
    <t>CM</t>
  </si>
  <si>
    <t>Pressure Coefficient Cp</t>
  </si>
  <si>
    <t>for P1</t>
  </si>
  <si>
    <t>for P2</t>
  </si>
  <si>
    <t>for P3</t>
  </si>
  <si>
    <t>for P4</t>
  </si>
  <si>
    <t>for P5</t>
  </si>
  <si>
    <t>for P6</t>
  </si>
  <si>
    <t>for P7</t>
  </si>
  <si>
    <t>for P8</t>
  </si>
  <si>
    <t>for P9</t>
  </si>
  <si>
    <t>for P10</t>
  </si>
  <si>
    <t>for P11</t>
  </si>
  <si>
    <t>for P12</t>
  </si>
  <si>
    <t>for P13</t>
  </si>
  <si>
    <t>for P14</t>
  </si>
  <si>
    <t>for P15</t>
  </si>
  <si>
    <t>for P16</t>
  </si>
  <si>
    <t>for P17</t>
  </si>
  <si>
    <t>for P18</t>
  </si>
  <si>
    <t>for P19</t>
  </si>
  <si>
    <t>for P20</t>
  </si>
  <si>
    <t>x (mm)</t>
  </si>
  <si>
    <t>c(mm)</t>
  </si>
  <si>
    <t>x/c</t>
  </si>
  <si>
    <t>top</t>
  </si>
  <si>
    <t>bottom</t>
  </si>
  <si>
    <t>L/D</t>
  </si>
  <si>
    <t>AoA</t>
  </si>
  <si>
    <t>c=150mm</t>
  </si>
  <si>
    <t>ρ=1.17</t>
  </si>
  <si>
    <t>μ=1.81*10^-5</t>
  </si>
  <si>
    <t xml:space="preserve">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</si>
</sst>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name val="Calibri"/>
    </font>
    <font>
      <sz val="11"/>
      <name val="Segoe UI"/>
    </font>
    <font>
      <sz val="11"/>
      <color rgb="FF000000"/>
      <name val="Segoe UI"/>
    </font>
    <font>
      <i/>
      <sz val="11"/>
      <color rgb="FF000000"/>
      <name val="Segoe UI"/>
    </font>
    <font>
      <sz val="11"/>
      <color rgb="FF000000"/>
      <name val="Symbol"/>
    </font>
    <font>
      <vertAlign val="superscript"/>
      <sz val="11"/>
      <color rgb="FF000000"/>
      <name val="Segoe UI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Calibri"/>
    </font>
    <font>
      <sz val="11"/>
      <name val="Segoe UI"/>
      <family val="2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Calibri"/>
      <family val="2"/>
    </font>
    <font>
      <b/>
      <sz val="15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theme="5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0" fontId="6" fillId="4" borderId="0" applyNumberFormat="0" applyBorder="0" applyAlignment="0" applyProtection="0"/>
    <xf numFmtId="0" fontId="7" fillId="5" borderId="5" applyNumberFormat="0" applyAlignment="0" applyProtection="0"/>
    <xf numFmtId="0" fontId="10" fillId="7" borderId="6" applyNumberFormat="0" applyAlignment="0" applyProtection="0"/>
    <xf numFmtId="0" fontId="11" fillId="6" borderId="8" applyNumberFormat="0" applyAlignment="0" applyProtection="0"/>
    <xf numFmtId="0" fontId="12" fillId="8" borderId="0" applyNumberFormat="0" applyBorder="0" applyAlignment="0" applyProtection="0"/>
    <xf numFmtId="0" fontId="14" fillId="0" borderId="10" applyNumberFormat="0" applyFill="0" applyAlignment="0" applyProtection="0"/>
  </cellStyleXfs>
  <cellXfs count="41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2" fontId="1" fillId="3" borderId="2" xfId="0" applyNumberFormat="1" applyFont="1" applyFill="1" applyBorder="1"/>
    <xf numFmtId="2" fontId="1" fillId="3" borderId="1" xfId="0" applyNumberFormat="1" applyFont="1" applyFill="1" applyBorder="1"/>
    <xf numFmtId="2" fontId="1" fillId="3" borderId="4" xfId="0" applyNumberFormat="1" applyFont="1" applyFill="1" applyBorder="1"/>
    <xf numFmtId="164" fontId="1" fillId="2" borderId="2" xfId="0" applyNumberFormat="1" applyFont="1" applyFill="1" applyBorder="1"/>
    <xf numFmtId="164" fontId="1" fillId="2" borderId="4" xfId="0" applyNumberFormat="1" applyFont="1" applyFill="1" applyBorder="1"/>
    <xf numFmtId="1" fontId="1" fillId="2" borderId="2" xfId="0" applyNumberFormat="1" applyFont="1" applyFill="1" applyBorder="1"/>
    <xf numFmtId="1" fontId="1" fillId="2" borderId="1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2" fontId="1" fillId="2" borderId="2" xfId="0" applyNumberFormat="1" applyFont="1" applyFill="1" applyBorder="1"/>
    <xf numFmtId="0" fontId="6" fillId="4" borderId="1" xfId="1" applyBorder="1"/>
    <xf numFmtId="0" fontId="6" fillId="4" borderId="0" xfId="1" applyAlignment="1"/>
    <xf numFmtId="0" fontId="6" fillId="4" borderId="0" xfId="1"/>
    <xf numFmtId="2" fontId="7" fillId="5" borderId="5" xfId="2" applyNumberFormat="1"/>
    <xf numFmtId="0" fontId="7" fillId="5" borderId="5" xfId="2"/>
    <xf numFmtId="164" fontId="7" fillId="5" borderId="5" xfId="2" applyNumberFormat="1"/>
    <xf numFmtId="0" fontId="1" fillId="2" borderId="7" xfId="0" applyFont="1" applyFill="1" applyBorder="1"/>
    <xf numFmtId="0" fontId="9" fillId="2" borderId="1" xfId="0" applyFont="1" applyFill="1" applyBorder="1"/>
    <xf numFmtId="165" fontId="1" fillId="3" borderId="4" xfId="0" applyNumberFormat="1" applyFont="1" applyFill="1" applyBorder="1"/>
    <xf numFmtId="0" fontId="11" fillId="6" borderId="8" xfId="4"/>
    <xf numFmtId="0" fontId="10" fillId="7" borderId="6" xfId="3"/>
    <xf numFmtId="0" fontId="13" fillId="0" borderId="0" xfId="0" applyFont="1"/>
    <xf numFmtId="0" fontId="12" fillId="8" borderId="0" xfId="5"/>
    <xf numFmtId="164" fontId="14" fillId="7" borderId="10" xfId="6" applyNumberFormat="1" applyFill="1"/>
    <xf numFmtId="0" fontId="14" fillId="6" borderId="10" xfId="6" applyFill="1"/>
    <xf numFmtId="0" fontId="14" fillId="7" borderId="10" xfId="6" applyFill="1"/>
    <xf numFmtId="2" fontId="1" fillId="3" borderId="2" xfId="0" applyNumberFormat="1" applyFont="1" applyFill="1" applyBorder="1"/>
    <xf numFmtId="2" fontId="1" fillId="3" borderId="1" xfId="0" applyNumberFormat="1" applyFont="1" applyFill="1" applyBorder="1"/>
    <xf numFmtId="2" fontId="1" fillId="3" borderId="4" xfId="0" applyNumberFormat="1" applyFont="1" applyFill="1" applyBorder="1"/>
    <xf numFmtId="164" fontId="1" fillId="2" borderId="2" xfId="0" applyNumberFormat="1" applyFont="1" applyFill="1" applyBorder="1"/>
    <xf numFmtId="164" fontId="1" fillId="2" borderId="4" xfId="0" applyNumberFormat="1" applyFont="1" applyFill="1" applyBorder="1"/>
    <xf numFmtId="1" fontId="1" fillId="2" borderId="2" xfId="0" applyNumberFormat="1" applyFont="1" applyFill="1" applyBorder="1"/>
    <xf numFmtId="1" fontId="1" fillId="2" borderId="1" xfId="0" applyNumberFormat="1" applyFont="1" applyFill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2" fontId="1" fillId="2" borderId="2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</cellXfs>
  <cellStyles count="7">
    <cellStyle name="Accent2" xfId="1" builtinId="33"/>
    <cellStyle name="Check Cell" xfId="2" builtinId="23"/>
    <cellStyle name="Heading 1" xfId="6" builtinId="16"/>
    <cellStyle name="Input" xfId="3" builtinId="20"/>
    <cellStyle name="Neutral" xfId="5" builtinId="28"/>
    <cellStyle name="Normal" xfId="0" builtinId="0"/>
    <cellStyle name="Output" xfId="4" builtinId="21"/>
  </cellStyles>
  <dxfs count="1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ke\Desktop\university\semester%208\Thesis\experiment\experiment_2.xlsx" TargetMode="External"/><Relationship Id="rId1" Type="http://schemas.openxmlformats.org/officeDocument/2006/relationships/externalLinkPath" Target="experimen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7">
          <cell r="J7">
            <v>-0.01</v>
          </cell>
          <cell r="K7">
            <v>0</v>
          </cell>
          <cell r="L7">
            <v>-0.02</v>
          </cell>
          <cell r="M7">
            <v>-7.0000000000000007E-2</v>
          </cell>
          <cell r="N7">
            <v>-0.28000000000000003</v>
          </cell>
          <cell r="O7">
            <v>-0.12</v>
          </cell>
          <cell r="P7">
            <v>-0.19</v>
          </cell>
          <cell r="Q7">
            <v>-0.14000000000000001</v>
          </cell>
          <cell r="R7">
            <v>-0.23</v>
          </cell>
          <cell r="S7">
            <v>-0.14000000000000001</v>
          </cell>
          <cell r="T7">
            <v>-0.15</v>
          </cell>
          <cell r="U7">
            <v>-0.13</v>
          </cell>
          <cell r="V7">
            <v>-0.19</v>
          </cell>
          <cell r="W7">
            <v>-0.13</v>
          </cell>
          <cell r="X7">
            <v>-0.17</v>
          </cell>
          <cell r="Y7">
            <v>-0.14000000000000001</v>
          </cell>
          <cell r="Z7">
            <v>-0.16</v>
          </cell>
          <cell r="AA7">
            <v>-0.08</v>
          </cell>
          <cell r="AB7">
            <v>-0.05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0.01</v>
          </cell>
          <cell r="AN7">
            <v>-0.13</v>
          </cell>
          <cell r="AO7">
            <v>0</v>
          </cell>
        </row>
        <row r="8">
          <cell r="J8">
            <v>0</v>
          </cell>
          <cell r="K8">
            <v>0</v>
          </cell>
          <cell r="L8">
            <v>-0.02</v>
          </cell>
          <cell r="M8">
            <v>-0.09</v>
          </cell>
          <cell r="N8">
            <v>-0.23</v>
          </cell>
          <cell r="O8">
            <v>-0.14000000000000001</v>
          </cell>
          <cell r="P8">
            <v>-0.18</v>
          </cell>
          <cell r="Q8">
            <v>-0.16</v>
          </cell>
          <cell r="R8">
            <v>-0.21</v>
          </cell>
          <cell r="S8">
            <v>-0.16</v>
          </cell>
          <cell r="T8">
            <v>-0.14000000000000001</v>
          </cell>
          <cell r="U8">
            <v>-0.14000000000000001</v>
          </cell>
          <cell r="V8">
            <v>-0.19</v>
          </cell>
          <cell r="W8">
            <v>-0.13</v>
          </cell>
          <cell r="X8">
            <v>-0.18</v>
          </cell>
          <cell r="Y8">
            <v>-0.14000000000000001</v>
          </cell>
          <cell r="Z8">
            <v>-0.16</v>
          </cell>
          <cell r="AA8">
            <v>-0.08</v>
          </cell>
          <cell r="AB8">
            <v>-0.05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0.01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0.01</v>
          </cell>
          <cell r="AN8">
            <v>-0.14000000000000001</v>
          </cell>
          <cell r="AO8">
            <v>0</v>
          </cell>
        </row>
        <row r="9">
          <cell r="J9">
            <v>0</v>
          </cell>
          <cell r="K9">
            <v>0</v>
          </cell>
          <cell r="T9">
            <v>-0.13</v>
          </cell>
          <cell r="W9">
            <v>-0.14000000000000001</v>
          </cell>
          <cell r="AA9">
            <v>-0.09</v>
          </cell>
          <cell r="AB9">
            <v>-0.05</v>
          </cell>
          <cell r="AD9">
            <v>0</v>
          </cell>
          <cell r="AE9">
            <v>0</v>
          </cell>
          <cell r="AF9">
            <v>0</v>
          </cell>
          <cell r="AG9">
            <v>0.01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0.01</v>
          </cell>
          <cell r="AN9">
            <v>-0.13</v>
          </cell>
          <cell r="AO9">
            <v>0</v>
          </cell>
        </row>
        <row r="10">
          <cell r="J10">
            <v>0</v>
          </cell>
          <cell r="K10">
            <v>0</v>
          </cell>
          <cell r="L10">
            <v>0</v>
          </cell>
          <cell r="M10">
            <v>-0.19</v>
          </cell>
          <cell r="N10">
            <v>-0.15</v>
          </cell>
          <cell r="O10">
            <v>-0.22</v>
          </cell>
          <cell r="P10">
            <v>-0.12</v>
          </cell>
          <cell r="Q10">
            <v>-0.23</v>
          </cell>
          <cell r="R10">
            <v>-0.16</v>
          </cell>
          <cell r="S10">
            <v>-0.21</v>
          </cell>
          <cell r="T10">
            <v>-0.11</v>
          </cell>
          <cell r="U10">
            <v>-0.18</v>
          </cell>
          <cell r="V10">
            <v>-0.17</v>
          </cell>
          <cell r="W10">
            <v>-0.14000000000000001</v>
          </cell>
          <cell r="X10">
            <v>-0.14000000000000001</v>
          </cell>
          <cell r="Y10">
            <v>-0.17</v>
          </cell>
          <cell r="Z10">
            <v>-0.14000000000000001</v>
          </cell>
          <cell r="AA10">
            <v>-0.1</v>
          </cell>
          <cell r="AB10">
            <v>-0.05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0.01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0.01</v>
          </cell>
          <cell r="AN10">
            <v>-0.14000000000000001</v>
          </cell>
          <cell r="AO10">
            <v>0</v>
          </cell>
        </row>
        <row r="11">
          <cell r="J11">
            <v>0</v>
          </cell>
          <cell r="K11">
            <v>0</v>
          </cell>
          <cell r="L11">
            <v>0</v>
          </cell>
          <cell r="M11">
            <v>-0.24</v>
          </cell>
          <cell r="N11">
            <v>-0.12</v>
          </cell>
          <cell r="O11">
            <v>-0.25</v>
          </cell>
          <cell r="P11">
            <v>-0.1</v>
          </cell>
          <cell r="Q11">
            <v>-0.26</v>
          </cell>
          <cell r="R11">
            <v>-0.15</v>
          </cell>
          <cell r="S11">
            <v>-0.22</v>
          </cell>
          <cell r="T11">
            <v>-0.11</v>
          </cell>
          <cell r="U11">
            <v>-0.19</v>
          </cell>
          <cell r="V11">
            <v>-0.16</v>
          </cell>
          <cell r="W11">
            <v>-0.16</v>
          </cell>
          <cell r="X11">
            <v>-0.14000000000000001</v>
          </cell>
          <cell r="Y11">
            <v>-0.16</v>
          </cell>
          <cell r="Z11">
            <v>-0.14000000000000001</v>
          </cell>
          <cell r="AA11">
            <v>-0.1</v>
          </cell>
          <cell r="AB11">
            <v>-0.04</v>
          </cell>
          <cell r="AC11">
            <v>0</v>
          </cell>
          <cell r="AD11">
            <v>0.01</v>
          </cell>
          <cell r="AE11">
            <v>0</v>
          </cell>
          <cell r="AF11">
            <v>0</v>
          </cell>
          <cell r="AG11">
            <v>0.01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0.01</v>
          </cell>
          <cell r="AN11">
            <v>-0.14000000000000001</v>
          </cell>
          <cell r="AO11">
            <v>0</v>
          </cell>
        </row>
        <row r="12">
          <cell r="J12">
            <v>0</v>
          </cell>
          <cell r="K12">
            <v>0</v>
          </cell>
          <cell r="L12">
            <v>0</v>
          </cell>
          <cell r="M12">
            <v>-0.28000000000000003</v>
          </cell>
          <cell r="N12">
            <v>-0.09</v>
          </cell>
          <cell r="O12">
            <v>-0.3</v>
          </cell>
          <cell r="P12">
            <v>-0.08</v>
          </cell>
          <cell r="Q12">
            <v>-0.28999999999999998</v>
          </cell>
          <cell r="R12">
            <v>-0.13</v>
          </cell>
          <cell r="S12">
            <v>-0.24</v>
          </cell>
          <cell r="T12">
            <v>-0.1</v>
          </cell>
          <cell r="U12">
            <v>-0.19</v>
          </cell>
          <cell r="V12">
            <v>-0.14000000000000001</v>
          </cell>
          <cell r="W12">
            <v>-0.14000000000000001</v>
          </cell>
          <cell r="X12">
            <v>-0.14000000000000001</v>
          </cell>
          <cell r="Y12">
            <v>-0.17</v>
          </cell>
          <cell r="Z12">
            <v>-0.14000000000000001</v>
          </cell>
          <cell r="AA12">
            <v>-0.1</v>
          </cell>
          <cell r="AB12">
            <v>-0.04</v>
          </cell>
          <cell r="AC12">
            <v>0</v>
          </cell>
          <cell r="AD12">
            <v>0.01</v>
          </cell>
          <cell r="AE12">
            <v>0</v>
          </cell>
          <cell r="AF12">
            <v>0</v>
          </cell>
          <cell r="AG12">
            <v>0.01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0.01</v>
          </cell>
          <cell r="AN12">
            <v>-0.13</v>
          </cell>
          <cell r="AO12">
            <v>0</v>
          </cell>
        </row>
        <row r="13">
          <cell r="J13">
            <v>0</v>
          </cell>
          <cell r="K13">
            <v>-0.02</v>
          </cell>
          <cell r="L13">
            <v>0.01</v>
          </cell>
          <cell r="M13">
            <v>-0.33</v>
          </cell>
          <cell r="N13">
            <v>-7.0000000000000007E-2</v>
          </cell>
          <cell r="O13">
            <v>-0.38</v>
          </cell>
          <cell r="P13">
            <v>-0.06</v>
          </cell>
          <cell r="Q13">
            <v>-0.28000000000000003</v>
          </cell>
          <cell r="R13">
            <v>-0.12</v>
          </cell>
          <cell r="S13">
            <v>-0.24</v>
          </cell>
          <cell r="T13">
            <v>-0.09</v>
          </cell>
          <cell r="U13">
            <v>-0.21</v>
          </cell>
          <cell r="V13">
            <v>-0.14000000000000001</v>
          </cell>
          <cell r="W13">
            <v>-0.14000000000000001</v>
          </cell>
          <cell r="X13">
            <v>-0.13</v>
          </cell>
          <cell r="Y13">
            <v>-0.18</v>
          </cell>
          <cell r="Z13">
            <v>-0.14000000000000001</v>
          </cell>
          <cell r="AA13">
            <v>-0.1</v>
          </cell>
          <cell r="AB13">
            <v>-0.04</v>
          </cell>
          <cell r="AC13">
            <v>0</v>
          </cell>
          <cell r="AD13">
            <v>0.01</v>
          </cell>
          <cell r="AE13">
            <v>0</v>
          </cell>
          <cell r="AF13">
            <v>0</v>
          </cell>
          <cell r="AG13">
            <v>0.01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0.01</v>
          </cell>
          <cell r="AN13">
            <v>-0.13</v>
          </cell>
          <cell r="AO13">
            <v>0</v>
          </cell>
        </row>
        <row r="14">
          <cell r="J14">
            <v>0</v>
          </cell>
          <cell r="K14">
            <v>-0.02</v>
          </cell>
          <cell r="L14">
            <v>0.01</v>
          </cell>
          <cell r="M14">
            <v>-0.41</v>
          </cell>
          <cell r="N14">
            <v>-0.04</v>
          </cell>
          <cell r="O14">
            <v>-0.39</v>
          </cell>
          <cell r="P14">
            <v>-0.05</v>
          </cell>
          <cell r="Q14">
            <v>-0.31</v>
          </cell>
          <cell r="R14">
            <v>-0.11</v>
          </cell>
          <cell r="S14">
            <v>-0.26</v>
          </cell>
          <cell r="T14">
            <v>-0.09</v>
          </cell>
          <cell r="U14">
            <v>-0.21</v>
          </cell>
          <cell r="V14">
            <v>-0.14000000000000001</v>
          </cell>
          <cell r="W14">
            <v>-0.14000000000000001</v>
          </cell>
          <cell r="X14">
            <v>-0.13</v>
          </cell>
          <cell r="Y14">
            <v>-0.18</v>
          </cell>
          <cell r="Z14">
            <v>-0.14000000000000001</v>
          </cell>
          <cell r="AA14">
            <v>-0.1</v>
          </cell>
          <cell r="AB14">
            <v>-0.05</v>
          </cell>
          <cell r="AC14">
            <v>0</v>
          </cell>
          <cell r="AD14">
            <v>0.01</v>
          </cell>
          <cell r="AE14">
            <v>0</v>
          </cell>
          <cell r="AF14">
            <v>0</v>
          </cell>
          <cell r="AG14">
            <v>0.01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0.01</v>
          </cell>
          <cell r="AN14">
            <v>-0.13</v>
          </cell>
          <cell r="AO14">
            <v>0</v>
          </cell>
        </row>
        <row r="15">
          <cell r="J15">
            <v>0</v>
          </cell>
          <cell r="K15">
            <v>-0.02</v>
          </cell>
          <cell r="L15">
            <v>0.01</v>
          </cell>
          <cell r="M15">
            <v>-0.43</v>
          </cell>
          <cell r="N15">
            <v>-0.04</v>
          </cell>
          <cell r="O15">
            <v>-0.4</v>
          </cell>
          <cell r="P15">
            <v>-0.05</v>
          </cell>
          <cell r="Q15">
            <v>-0.31</v>
          </cell>
          <cell r="R15">
            <v>-0.11</v>
          </cell>
          <cell r="S15">
            <v>-0.26</v>
          </cell>
          <cell r="T15">
            <v>-0.09</v>
          </cell>
          <cell r="U15">
            <v>-0.21</v>
          </cell>
          <cell r="V15">
            <v>-0.14000000000000001</v>
          </cell>
          <cell r="W15">
            <v>-0.14000000000000001</v>
          </cell>
          <cell r="X15">
            <v>-0.13</v>
          </cell>
          <cell r="Y15">
            <v>-0.18</v>
          </cell>
          <cell r="Z15">
            <v>-0.14000000000000001</v>
          </cell>
          <cell r="AA15">
            <v>-0.1</v>
          </cell>
          <cell r="AB15">
            <v>-0.05</v>
          </cell>
          <cell r="AC15">
            <v>0</v>
          </cell>
          <cell r="AD15">
            <v>0.01</v>
          </cell>
          <cell r="AE15">
            <v>0</v>
          </cell>
          <cell r="AF15">
            <v>0</v>
          </cell>
          <cell r="AG15">
            <v>0.01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0.01</v>
          </cell>
          <cell r="AN15">
            <v>-0.13</v>
          </cell>
          <cell r="AO15">
            <v>0</v>
          </cell>
        </row>
        <row r="16">
          <cell r="J16">
            <v>0</v>
          </cell>
          <cell r="K16">
            <v>0.01</v>
          </cell>
          <cell r="L16">
            <v>0.01</v>
          </cell>
          <cell r="M16">
            <v>-0.19</v>
          </cell>
          <cell r="N16">
            <v>-7.0000000000000007E-2</v>
          </cell>
          <cell r="O16">
            <v>-0.23</v>
          </cell>
          <cell r="P16">
            <v>-7.0000000000000007E-2</v>
          </cell>
          <cell r="Q16">
            <v>-0.24</v>
          </cell>
          <cell r="R16">
            <v>-0.13</v>
          </cell>
          <cell r="S16">
            <v>-0.24</v>
          </cell>
          <cell r="T16">
            <v>-0.11</v>
          </cell>
          <cell r="U16">
            <v>-0.22</v>
          </cell>
          <cell r="V16">
            <v>-0.16</v>
          </cell>
          <cell r="W16">
            <v>-0.16</v>
          </cell>
          <cell r="X16">
            <v>-0.16</v>
          </cell>
          <cell r="Y16">
            <v>-0.23</v>
          </cell>
          <cell r="Z16">
            <v>-0.18</v>
          </cell>
          <cell r="AA16">
            <v>-0.14000000000000001</v>
          </cell>
          <cell r="AB16">
            <v>-0.06</v>
          </cell>
          <cell r="AC16">
            <v>0</v>
          </cell>
          <cell r="AD16">
            <v>0.01</v>
          </cell>
          <cell r="AE16">
            <v>0</v>
          </cell>
          <cell r="AF16">
            <v>0</v>
          </cell>
          <cell r="AG16">
            <v>0.01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0.01</v>
          </cell>
          <cell r="AN16">
            <v>-0.13</v>
          </cell>
          <cell r="AO16">
            <v>0</v>
          </cell>
        </row>
        <row r="17">
          <cell r="J17">
            <v>0</v>
          </cell>
          <cell r="K17">
            <v>0.01</v>
          </cell>
          <cell r="L17">
            <v>0.01</v>
          </cell>
          <cell r="M17">
            <v>-0.17</v>
          </cell>
          <cell r="N17">
            <v>-7.0000000000000007E-2</v>
          </cell>
          <cell r="O17">
            <v>-0.22</v>
          </cell>
          <cell r="P17">
            <v>-7.0000000000000007E-2</v>
          </cell>
          <cell r="Q17">
            <v>-0.23</v>
          </cell>
          <cell r="R17">
            <v>-0.13</v>
          </cell>
          <cell r="S17">
            <v>-0.22</v>
          </cell>
          <cell r="T17">
            <v>-0.11</v>
          </cell>
          <cell r="U17">
            <v>-0.21</v>
          </cell>
          <cell r="V17">
            <v>-0.16</v>
          </cell>
          <cell r="W17">
            <v>-0.16</v>
          </cell>
          <cell r="X17">
            <v>-0.16</v>
          </cell>
          <cell r="Y17">
            <v>-0.21</v>
          </cell>
          <cell r="Z17">
            <v>-0.18</v>
          </cell>
          <cell r="AA17">
            <v>-0.14000000000000001</v>
          </cell>
          <cell r="AB17">
            <v>-0.06</v>
          </cell>
          <cell r="AC17">
            <v>0</v>
          </cell>
          <cell r="AD17">
            <v>0.01</v>
          </cell>
          <cell r="AE17">
            <v>0</v>
          </cell>
          <cell r="AF17">
            <v>0</v>
          </cell>
          <cell r="AG17">
            <v>0.01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0.01</v>
          </cell>
          <cell r="AN17">
            <v>-0.13</v>
          </cell>
          <cell r="AO17">
            <v>0</v>
          </cell>
        </row>
        <row r="18">
          <cell r="J18">
            <v>0</v>
          </cell>
          <cell r="K18">
            <v>0.01</v>
          </cell>
          <cell r="L18">
            <v>0.02</v>
          </cell>
          <cell r="M18">
            <v>-0.17</v>
          </cell>
          <cell r="N18">
            <v>-7.0000000000000007E-2</v>
          </cell>
          <cell r="O18">
            <v>-0.22</v>
          </cell>
          <cell r="P18">
            <v>-0.06</v>
          </cell>
          <cell r="Q18">
            <v>-0.23</v>
          </cell>
          <cell r="R18">
            <v>-0.13</v>
          </cell>
          <cell r="S18">
            <v>-0.22</v>
          </cell>
          <cell r="T18">
            <v>-0.11</v>
          </cell>
          <cell r="U18">
            <v>-0.21</v>
          </cell>
          <cell r="V18">
            <v>-0.16</v>
          </cell>
          <cell r="W18">
            <v>-0.14000000000000001</v>
          </cell>
          <cell r="X18">
            <v>-0.16</v>
          </cell>
          <cell r="Y18">
            <v>-0.21</v>
          </cell>
          <cell r="Z18">
            <v>-0.18</v>
          </cell>
          <cell r="AA18">
            <v>-0.14000000000000001</v>
          </cell>
          <cell r="AB18">
            <v>-0.06</v>
          </cell>
          <cell r="AC18">
            <v>0</v>
          </cell>
          <cell r="AD18">
            <v>0.01</v>
          </cell>
          <cell r="AE18">
            <v>0</v>
          </cell>
          <cell r="AF18">
            <v>0</v>
          </cell>
          <cell r="AG18">
            <v>0.01</v>
          </cell>
          <cell r="AH18">
            <v>0</v>
          </cell>
          <cell r="AI18">
            <v>0.01</v>
          </cell>
          <cell r="AJ18">
            <v>0</v>
          </cell>
          <cell r="AK18">
            <v>0</v>
          </cell>
          <cell r="AL18">
            <v>0</v>
          </cell>
          <cell r="AM18">
            <v>0.01</v>
          </cell>
          <cell r="AN18">
            <v>-0.13</v>
          </cell>
          <cell r="AO18">
            <v>0</v>
          </cell>
        </row>
        <row r="19">
          <cell r="J19">
            <v>0</v>
          </cell>
          <cell r="K19">
            <v>0.01</v>
          </cell>
          <cell r="L19">
            <v>0.01</v>
          </cell>
          <cell r="M19">
            <v>-0.17</v>
          </cell>
          <cell r="N19">
            <v>-0.05</v>
          </cell>
          <cell r="O19">
            <v>-0.22</v>
          </cell>
          <cell r="P19">
            <v>-0.06</v>
          </cell>
          <cell r="Q19">
            <v>-0.23</v>
          </cell>
          <cell r="R19">
            <v>-0.13</v>
          </cell>
          <cell r="S19">
            <v>-0.22</v>
          </cell>
          <cell r="T19">
            <v>-0.1</v>
          </cell>
          <cell r="U19">
            <v>-0.21</v>
          </cell>
          <cell r="V19">
            <v>-0.16</v>
          </cell>
          <cell r="W19">
            <v>-0.14000000000000001</v>
          </cell>
          <cell r="X19">
            <v>-0.16</v>
          </cell>
          <cell r="Y19">
            <v>-0.21</v>
          </cell>
          <cell r="Z19">
            <v>-0.18</v>
          </cell>
          <cell r="AA19">
            <v>-0.14000000000000001</v>
          </cell>
          <cell r="AB19">
            <v>-0.06</v>
          </cell>
          <cell r="AC19">
            <v>0</v>
          </cell>
          <cell r="AD19">
            <v>0.01</v>
          </cell>
          <cell r="AE19">
            <v>0.01</v>
          </cell>
          <cell r="AF19">
            <v>0</v>
          </cell>
          <cell r="AG19">
            <v>0.01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0.01</v>
          </cell>
          <cell r="AN19">
            <v>-0.13</v>
          </cell>
          <cell r="AO19">
            <v>0</v>
          </cell>
        </row>
        <row r="20">
          <cell r="J20">
            <v>0</v>
          </cell>
          <cell r="K20">
            <v>0.01</v>
          </cell>
          <cell r="L20">
            <v>0.01</v>
          </cell>
          <cell r="M20">
            <v>-0.17</v>
          </cell>
          <cell r="N20">
            <v>-0.05</v>
          </cell>
          <cell r="O20">
            <v>-0.22</v>
          </cell>
          <cell r="P20">
            <v>-0.06</v>
          </cell>
          <cell r="Q20">
            <v>-0.23</v>
          </cell>
          <cell r="R20">
            <v>-0.12</v>
          </cell>
          <cell r="S20">
            <v>-0.22</v>
          </cell>
          <cell r="T20">
            <v>-0.1</v>
          </cell>
          <cell r="U20">
            <v>-0.21</v>
          </cell>
          <cell r="V20">
            <v>-0.16</v>
          </cell>
          <cell r="W20">
            <v>-0.14000000000000001</v>
          </cell>
          <cell r="X20">
            <v>-0.16</v>
          </cell>
          <cell r="Y20">
            <v>-0.21</v>
          </cell>
          <cell r="Z20">
            <v>-0.18</v>
          </cell>
          <cell r="AA20">
            <v>-0.13</v>
          </cell>
          <cell r="AB20">
            <v>-0.06</v>
          </cell>
          <cell r="AC20">
            <v>0</v>
          </cell>
          <cell r="AD20">
            <v>0.02</v>
          </cell>
          <cell r="AE20">
            <v>0.01</v>
          </cell>
          <cell r="AF20">
            <v>0</v>
          </cell>
          <cell r="AG20">
            <v>0.01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0.01</v>
          </cell>
          <cell r="AN20">
            <v>-0.13</v>
          </cell>
          <cell r="AO2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4273-AFC7-4C3F-B0F6-857A3144FE6D}">
  <dimension ref="A1:DV536"/>
  <sheetViews>
    <sheetView tabSelected="1" topLeftCell="AW1" zoomScale="36" zoomScaleNormal="40" workbookViewId="0">
      <selection activeCell="BU13" sqref="BU13"/>
    </sheetView>
  </sheetViews>
  <sheetFormatPr defaultRowHeight="15.5" thickTop="1" thickBottom="1" x14ac:dyDescent="0.4"/>
  <cols>
    <col min="1" max="1" width="20.90625" customWidth="1"/>
    <col min="2" max="2" width="9.81640625" bestFit="1" customWidth="1"/>
    <col min="3" max="4" width="17.6328125" bestFit="1" customWidth="1"/>
    <col min="5" max="5" width="20.26953125" bestFit="1" customWidth="1"/>
    <col min="6" max="6" width="18.1796875" bestFit="1" customWidth="1"/>
    <col min="7" max="7" width="17.54296875" bestFit="1" customWidth="1"/>
    <col min="8" max="8" width="16.90625" bestFit="1" customWidth="1"/>
    <col min="9" max="9" width="24.08984375" bestFit="1" customWidth="1"/>
    <col min="10" max="33" width="8.81640625" bestFit="1" customWidth="1"/>
    <col min="42" max="42" width="26.1796875" bestFit="1" customWidth="1"/>
    <col min="43" max="43" width="20.1796875" bestFit="1" customWidth="1"/>
    <col min="44" max="44" width="18.08984375" bestFit="1" customWidth="1"/>
    <col min="45" max="45" width="17.54296875" bestFit="1" customWidth="1"/>
    <col min="47" max="47" width="18" style="17" bestFit="1" customWidth="1"/>
    <col min="48" max="48" width="19.90625" style="17" bestFit="1" customWidth="1"/>
    <col min="49" max="49" width="20" style="17" bestFit="1" customWidth="1"/>
    <col min="50" max="50" width="21" bestFit="1" customWidth="1"/>
    <col min="51" max="51" width="19.54296875" bestFit="1" customWidth="1"/>
    <col min="52" max="52" width="18.26953125" bestFit="1" customWidth="1"/>
    <col min="53" max="53" width="16.36328125" bestFit="1" customWidth="1"/>
    <col min="54" max="54" width="16.54296875" bestFit="1" customWidth="1"/>
    <col min="55" max="56" width="18.26953125" bestFit="1" customWidth="1"/>
    <col min="57" max="57" width="19.54296875" bestFit="1" customWidth="1"/>
    <col min="58" max="59" width="16.36328125" bestFit="1" customWidth="1"/>
    <col min="60" max="60" width="19.54296875" bestFit="1" customWidth="1"/>
    <col min="61" max="61" width="16.36328125" bestFit="1" customWidth="1"/>
    <col min="62" max="62" width="19.54296875" bestFit="1" customWidth="1"/>
    <col min="63" max="63" width="16.36328125" bestFit="1" customWidth="1"/>
    <col min="64" max="67" width="19.54296875" bestFit="1" customWidth="1"/>
    <col min="68" max="68" width="18.26953125" bestFit="1" customWidth="1"/>
    <col min="69" max="69" width="19.54296875" bestFit="1" customWidth="1"/>
    <col min="72" max="73" width="8.81640625" customWidth="1"/>
    <col min="74" max="74" width="8.81640625" bestFit="1" customWidth="1"/>
    <col min="124" max="124" width="49.90625" bestFit="1" customWidth="1"/>
    <col min="125" max="125" width="21.81640625" customWidth="1"/>
    <col min="126" max="126" width="39" bestFit="1" customWidth="1"/>
  </cols>
  <sheetData>
    <row r="1" spans="1:79" ht="17.5" thickTop="1" thickBot="1" x14ac:dyDescent="0.5">
      <c r="A1" t="s">
        <v>60</v>
      </c>
      <c r="B1" s="29" t="s">
        <v>0</v>
      </c>
      <c r="C1" s="30"/>
      <c r="D1" s="31"/>
      <c r="E1" s="32" t="s">
        <v>1</v>
      </c>
      <c r="F1" s="33"/>
      <c r="G1" s="34" t="s">
        <v>2</v>
      </c>
      <c r="H1" s="35"/>
      <c r="I1" s="33"/>
      <c r="J1" s="38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40"/>
      <c r="AP1" s="32" t="s">
        <v>4</v>
      </c>
      <c r="AQ1" s="39"/>
      <c r="AR1" s="39"/>
      <c r="AS1" s="40"/>
      <c r="AT1" s="18" t="s">
        <v>98</v>
      </c>
      <c r="AU1" s="18" t="s">
        <v>66</v>
      </c>
      <c r="AV1" s="16" t="s">
        <v>67</v>
      </c>
      <c r="AW1" s="16" t="s">
        <v>68</v>
      </c>
      <c r="AX1" s="36" t="s">
        <v>72</v>
      </c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Y1" s="17" t="s">
        <v>93</v>
      </c>
      <c r="BZ1" s="17" t="s">
        <v>94</v>
      </c>
      <c r="CA1" s="17" t="s">
        <v>95</v>
      </c>
    </row>
    <row r="2" spans="1:79" ht="20.5" thickTop="1" thickBot="1" x14ac:dyDescent="0.5">
      <c r="A2" t="s">
        <v>50</v>
      </c>
      <c r="B2" s="3" t="s">
        <v>5</v>
      </c>
      <c r="C2" s="4" t="s">
        <v>6</v>
      </c>
      <c r="D2" s="5" t="s">
        <v>7</v>
      </c>
      <c r="E2" s="6" t="s">
        <v>8</v>
      </c>
      <c r="F2" s="7" t="s">
        <v>9</v>
      </c>
      <c r="G2" s="8" t="s">
        <v>10</v>
      </c>
      <c r="H2" s="9" t="s">
        <v>11</v>
      </c>
      <c r="I2" s="7" t="s">
        <v>12</v>
      </c>
      <c r="J2" s="38" t="s">
        <v>13</v>
      </c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6" t="s">
        <v>14</v>
      </c>
      <c r="AQ2" s="10" t="s">
        <v>15</v>
      </c>
      <c r="AR2" s="10" t="s">
        <v>16</v>
      </c>
      <c r="AS2" s="11" t="s">
        <v>17</v>
      </c>
      <c r="AT2" s="26" t="s">
        <v>98</v>
      </c>
      <c r="AU2" s="27" t="s">
        <v>69</v>
      </c>
      <c r="AV2" s="28" t="s">
        <v>70</v>
      </c>
      <c r="AW2" s="27" t="s">
        <v>71</v>
      </c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X2" s="17" t="s">
        <v>73</v>
      </c>
      <c r="BY2">
        <v>0.76</v>
      </c>
      <c r="BZ2">
        <v>150</v>
      </c>
      <c r="CA2">
        <f t="shared" ref="CA2:CA20" si="0">BY2/BZ2</f>
        <v>5.0666666666666664E-3</v>
      </c>
    </row>
    <row r="3" spans="1:79" s="1" customFormat="1" ht="17.5" thickTop="1" thickBot="1" x14ac:dyDescent="0.5">
      <c r="B3" s="3"/>
      <c r="C3" s="4"/>
      <c r="D3" s="5"/>
      <c r="E3" s="6"/>
      <c r="F3" s="7"/>
      <c r="G3" s="8"/>
      <c r="H3" s="9"/>
      <c r="I3" s="7"/>
      <c r="J3" s="12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  <c r="AG3" s="10" t="s">
        <v>41</v>
      </c>
      <c r="AH3" s="10" t="s">
        <v>42</v>
      </c>
      <c r="AI3" s="10" t="s">
        <v>43</v>
      </c>
      <c r="AJ3" s="10" t="s">
        <v>44</v>
      </c>
      <c r="AK3" s="10" t="s">
        <v>45</v>
      </c>
      <c r="AL3" s="10" t="s">
        <v>46</v>
      </c>
      <c r="AM3" s="10" t="s">
        <v>47</v>
      </c>
      <c r="AN3" s="10" t="s">
        <v>48</v>
      </c>
      <c r="AO3" s="11" t="s">
        <v>49</v>
      </c>
      <c r="AP3" s="6"/>
      <c r="AQ3" s="10"/>
      <c r="AR3" s="10"/>
      <c r="AS3" s="11"/>
      <c r="AT3" s="23"/>
      <c r="AU3" s="22"/>
      <c r="AV3" s="23"/>
      <c r="AW3" s="22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X3" s="17" t="s">
        <v>74</v>
      </c>
      <c r="BY3">
        <v>1.52</v>
      </c>
      <c r="BZ3">
        <v>150</v>
      </c>
      <c r="CA3">
        <f t="shared" si="0"/>
        <v>1.0133333333333333E-2</v>
      </c>
    </row>
    <row r="4" spans="1:79" s="1" customFormat="1" ht="19" thickTop="1" thickBot="1" x14ac:dyDescent="0.5">
      <c r="B4" s="3" t="s">
        <v>51</v>
      </c>
      <c r="C4" s="4" t="s">
        <v>51</v>
      </c>
      <c r="D4" s="5" t="s">
        <v>52</v>
      </c>
      <c r="E4" s="6" t="s">
        <v>53</v>
      </c>
      <c r="F4" s="7" t="s">
        <v>53</v>
      </c>
      <c r="G4" s="8" t="s">
        <v>54</v>
      </c>
      <c r="H4" s="9" t="s">
        <v>54</v>
      </c>
      <c r="I4" s="7" t="s">
        <v>55</v>
      </c>
      <c r="J4" s="12" t="s">
        <v>56</v>
      </c>
      <c r="K4" s="10" t="s">
        <v>56</v>
      </c>
      <c r="L4" s="10" t="s">
        <v>56</v>
      </c>
      <c r="M4" s="10" t="s">
        <v>56</v>
      </c>
      <c r="N4" s="10" t="s">
        <v>56</v>
      </c>
      <c r="O4" s="10" t="s">
        <v>56</v>
      </c>
      <c r="P4" s="10" t="s">
        <v>56</v>
      </c>
      <c r="Q4" s="10" t="s">
        <v>56</v>
      </c>
      <c r="R4" s="10" t="s">
        <v>56</v>
      </c>
      <c r="S4" s="10" t="s">
        <v>56</v>
      </c>
      <c r="T4" s="10" t="s">
        <v>56</v>
      </c>
      <c r="U4" s="10" t="s">
        <v>56</v>
      </c>
      <c r="V4" s="10" t="s">
        <v>56</v>
      </c>
      <c r="W4" s="10" t="s">
        <v>56</v>
      </c>
      <c r="X4" s="10" t="s">
        <v>56</v>
      </c>
      <c r="Y4" s="10" t="s">
        <v>56</v>
      </c>
      <c r="Z4" s="10" t="s">
        <v>56</v>
      </c>
      <c r="AA4" s="10" t="s">
        <v>56</v>
      </c>
      <c r="AB4" s="10" t="s">
        <v>56</v>
      </c>
      <c r="AC4" s="10" t="s">
        <v>56</v>
      </c>
      <c r="AD4" s="10" t="s">
        <v>56</v>
      </c>
      <c r="AE4" s="10" t="s">
        <v>56</v>
      </c>
      <c r="AF4" s="10" t="s">
        <v>56</v>
      </c>
      <c r="AG4" s="10" t="s">
        <v>56</v>
      </c>
      <c r="AH4" s="10" t="s">
        <v>56</v>
      </c>
      <c r="AI4" s="10" t="s">
        <v>56</v>
      </c>
      <c r="AJ4" s="10" t="s">
        <v>56</v>
      </c>
      <c r="AK4" s="10" t="s">
        <v>56</v>
      </c>
      <c r="AL4" s="10" t="s">
        <v>56</v>
      </c>
      <c r="AM4" s="10" t="s">
        <v>56</v>
      </c>
      <c r="AN4" s="10" t="s">
        <v>56</v>
      </c>
      <c r="AO4" s="11" t="s">
        <v>56</v>
      </c>
      <c r="AP4" s="6" t="s">
        <v>57</v>
      </c>
      <c r="AQ4" s="10" t="s">
        <v>58</v>
      </c>
      <c r="AR4" s="10" t="s">
        <v>59</v>
      </c>
      <c r="AS4" s="11" t="s">
        <v>59</v>
      </c>
      <c r="AT4" s="23"/>
      <c r="AU4" s="22"/>
      <c r="AV4" s="23"/>
      <c r="AW4" s="22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X4" s="17" t="s">
        <v>75</v>
      </c>
      <c r="BY4">
        <v>1.81</v>
      </c>
      <c r="BZ4">
        <v>150</v>
      </c>
      <c r="CA4">
        <f t="shared" si="0"/>
        <v>1.2066666666666667E-2</v>
      </c>
    </row>
    <row r="5" spans="1:79" s="1" customFormat="1" ht="17.5" thickTop="1" thickBot="1" x14ac:dyDescent="0.5">
      <c r="A5" s="13" t="s">
        <v>61</v>
      </c>
      <c r="AT5" s="23"/>
      <c r="AU5" s="22"/>
      <c r="AV5" s="23"/>
      <c r="AW5" s="22"/>
      <c r="AX5" s="17" t="s">
        <v>73</v>
      </c>
      <c r="AY5" s="17" t="s">
        <v>74</v>
      </c>
      <c r="AZ5" s="17" t="s">
        <v>75</v>
      </c>
      <c r="BA5" s="17" t="s">
        <v>76</v>
      </c>
      <c r="BB5" s="17" t="s">
        <v>77</v>
      </c>
      <c r="BC5" s="17" t="s">
        <v>78</v>
      </c>
      <c r="BD5" s="17" t="s">
        <v>79</v>
      </c>
      <c r="BE5" s="17" t="s">
        <v>80</v>
      </c>
      <c r="BF5" s="17" t="s">
        <v>81</v>
      </c>
      <c r="BG5" s="17" t="s">
        <v>82</v>
      </c>
      <c r="BH5" s="17" t="s">
        <v>83</v>
      </c>
      <c r="BI5" s="17" t="s">
        <v>84</v>
      </c>
      <c r="BJ5" s="17" t="s">
        <v>85</v>
      </c>
      <c r="BK5" s="17" t="s">
        <v>86</v>
      </c>
      <c r="BL5" s="17" t="s">
        <v>87</v>
      </c>
      <c r="BM5" s="17" t="s">
        <v>88</v>
      </c>
      <c r="BN5" s="17" t="s">
        <v>89</v>
      </c>
      <c r="BO5" s="17" t="s">
        <v>90</v>
      </c>
      <c r="BP5" s="17" t="s">
        <v>91</v>
      </c>
      <c r="BQ5" s="17" t="s">
        <v>92</v>
      </c>
      <c r="BX5" s="17" t="s">
        <v>76</v>
      </c>
      <c r="BY5">
        <v>7.62</v>
      </c>
      <c r="BZ5">
        <v>150</v>
      </c>
      <c r="CA5">
        <f t="shared" si="0"/>
        <v>5.0799999999999998E-2</v>
      </c>
    </row>
    <row r="6" spans="1:79" s="1" customFormat="1" ht="17.5" thickTop="1" thickBot="1" x14ac:dyDescent="0.5">
      <c r="A6" s="2">
        <v>0</v>
      </c>
      <c r="B6" s="3">
        <v>-3.26</v>
      </c>
      <c r="C6" s="4">
        <v>0.2</v>
      </c>
      <c r="D6" s="5">
        <v>1.4999999999999999E-2</v>
      </c>
      <c r="E6" s="6">
        <v>355.8</v>
      </c>
      <c r="F6" s="7">
        <v>-4.2</v>
      </c>
      <c r="G6" s="8">
        <v>137</v>
      </c>
      <c r="H6" s="9">
        <v>140</v>
      </c>
      <c r="I6" s="7">
        <v>99.4</v>
      </c>
      <c r="J6" s="12">
        <f>[1]Sheet1!J7</f>
        <v>-0.01</v>
      </c>
      <c r="K6" s="10">
        <f>[1]Sheet1!K7</f>
        <v>0</v>
      </c>
      <c r="L6" s="10">
        <f>[1]Sheet1!L7</f>
        <v>-0.02</v>
      </c>
      <c r="M6" s="10">
        <f>[1]Sheet1!M7</f>
        <v>-7.0000000000000007E-2</v>
      </c>
      <c r="N6" s="10">
        <f>[1]Sheet1!N7</f>
        <v>-0.28000000000000003</v>
      </c>
      <c r="O6" s="10">
        <f>[1]Sheet1!O7</f>
        <v>-0.12</v>
      </c>
      <c r="P6" s="10">
        <f>[1]Sheet1!P7</f>
        <v>-0.19</v>
      </c>
      <c r="Q6" s="10">
        <f>[1]Sheet1!Q7</f>
        <v>-0.14000000000000001</v>
      </c>
      <c r="R6" s="10">
        <f>[1]Sheet1!R7</f>
        <v>-0.23</v>
      </c>
      <c r="S6" s="10">
        <f>[1]Sheet1!S7</f>
        <v>-0.14000000000000001</v>
      </c>
      <c r="T6" s="10">
        <f>[1]Sheet1!T7</f>
        <v>-0.15</v>
      </c>
      <c r="U6" s="10">
        <f>[1]Sheet1!U7</f>
        <v>-0.13</v>
      </c>
      <c r="V6" s="10">
        <f>[1]Sheet1!V7</f>
        <v>-0.19</v>
      </c>
      <c r="W6" s="10">
        <f>[1]Sheet1!W7</f>
        <v>-0.13</v>
      </c>
      <c r="X6" s="10">
        <f>[1]Sheet1!X7</f>
        <v>-0.17</v>
      </c>
      <c r="Y6" s="10">
        <f>[1]Sheet1!Y7</f>
        <v>-0.14000000000000001</v>
      </c>
      <c r="Z6" s="10">
        <f>[1]Sheet1!Z7</f>
        <v>-0.16</v>
      </c>
      <c r="AA6" s="10">
        <f>[1]Sheet1!AA7</f>
        <v>-0.08</v>
      </c>
      <c r="AB6" s="10">
        <f>[1]Sheet1!AB7</f>
        <v>-0.05</v>
      </c>
      <c r="AC6" s="10">
        <f>[1]Sheet1!AC7</f>
        <v>0</v>
      </c>
      <c r="AD6" s="10">
        <f>[1]Sheet1!AD7</f>
        <v>0</v>
      </c>
      <c r="AE6" s="10">
        <f>[1]Sheet1!AE7</f>
        <v>0</v>
      </c>
      <c r="AF6" s="10">
        <f>[1]Sheet1!AF7</f>
        <v>0</v>
      </c>
      <c r="AG6" s="10">
        <f>[1]Sheet1!AG7</f>
        <v>0</v>
      </c>
      <c r="AH6" s="10">
        <f>[1]Sheet1!AH7</f>
        <v>0</v>
      </c>
      <c r="AI6" s="10">
        <f>[1]Sheet1!AI7</f>
        <v>0</v>
      </c>
      <c r="AJ6" s="10">
        <f>[1]Sheet1!AJ7</f>
        <v>0</v>
      </c>
      <c r="AK6" s="10">
        <f>[1]Sheet1!AK7</f>
        <v>0</v>
      </c>
      <c r="AL6" s="10">
        <f>[1]Sheet1!AL7</f>
        <v>0</v>
      </c>
      <c r="AM6" s="10">
        <f>[1]Sheet1!AM7</f>
        <v>0.01</v>
      </c>
      <c r="AN6" s="10">
        <f>[1]Sheet1!AN7</f>
        <v>-0.13</v>
      </c>
      <c r="AO6" s="11">
        <f>[1]Sheet1!AO7</f>
        <v>0</v>
      </c>
      <c r="AP6" s="6">
        <v>22.8</v>
      </c>
      <c r="AQ6" s="10">
        <v>1.17</v>
      </c>
      <c r="AR6" s="10">
        <v>15.3</v>
      </c>
      <c r="AS6" s="11">
        <v>15.46</v>
      </c>
      <c r="AT6" s="23">
        <f>B6/C6</f>
        <v>-16.299999999999997</v>
      </c>
      <c r="AU6" s="22">
        <f>B6/(0.5*AQ6*(AR6^2)*0.15*0.3)</f>
        <v>-0.52901301708740434</v>
      </c>
      <c r="AV6" s="23">
        <f>C6/(0.5*AQ6*(AR6^2)*0.15*0.3)</f>
        <v>3.245478632438064E-2</v>
      </c>
      <c r="AW6" s="22">
        <f>D6/(0.5*AQ6*(AR6^2)*0.3*0.15*0.15)</f>
        <v>1.622739316219032E-2</v>
      </c>
      <c r="AX6">
        <f>((J6-AN6)*10^3)/(0.5*AQ6*(AR6^2))</f>
        <v>0.87627923075827729</v>
      </c>
      <c r="AY6">
        <f>((K6-AN6)*10^3)/(0.5*AQ6*(AR6^2))</f>
        <v>0.94930249998813365</v>
      </c>
      <c r="AZ6">
        <f>((L6-AN6)*10^3)/(0.5*AQ6*(AR6^2))</f>
        <v>0.80325596152842071</v>
      </c>
      <c r="BA6">
        <f>(M6-AN6)*10^3/(0.5*AQ6*(AR6^2))</f>
        <v>0.43813961537913859</v>
      </c>
      <c r="BB6">
        <f>(N6-AN6)*10^3/(0.5*AQ6*(AR6^2))</f>
        <v>-1.0953490384478466</v>
      </c>
      <c r="BC6">
        <f>(O6-AN6)*10^3/(0.5*AQ6*(AR6^2))</f>
        <v>7.3023269229856497E-2</v>
      </c>
      <c r="BD6">
        <v>-0.838139615</v>
      </c>
      <c r="BE6">
        <f>(Q6-AN6)*10^3/(0.5*AQ6*(AR6^2))</f>
        <v>-7.3023269229856497E-2</v>
      </c>
      <c r="BF6">
        <f>(R6-AN6)*10^3/(0.5*AQ6*(AR6^2))</f>
        <v>-0.73023269229856436</v>
      </c>
      <c r="BG6">
        <f>(S6-AN6)*10^3/(0.5*AQ6*(AR6^2))</f>
        <v>-7.3023269229856497E-2</v>
      </c>
      <c r="BH6">
        <v>-0.61604653799999998</v>
      </c>
      <c r="BI6">
        <f>(U6-AN6)*10^3/(0.5*AQ6*(AR6^2))</f>
        <v>0</v>
      </c>
      <c r="BJ6">
        <f>(V6-AN6)*10^3/(0.5*AQ6*(AR6^2))</f>
        <v>-0.43813961537913859</v>
      </c>
      <c r="BK6">
        <f>(W6-AN6)*10^3/(0.5*AQ6*(AR6^2))</f>
        <v>0</v>
      </c>
      <c r="BL6">
        <f>(X6-AN6)*10^3/(0.5*AQ6*(AR6^2))</f>
        <v>-0.29209307691942576</v>
      </c>
      <c r="BM6">
        <f>(Y6-AN6)*10^3/(0.5*AQ6*(AR6^2))</f>
        <v>-7.3023269229856497E-2</v>
      </c>
      <c r="BN6">
        <f>(Z6-AN6)*10^3/(0.5*AQ6*(AR6^2))</f>
        <v>-0.2190698076895693</v>
      </c>
      <c r="BO6">
        <v>0.165116346</v>
      </c>
      <c r="BP6">
        <f>(AB6-AN6)*10^3/(0.5*AQ6*(AR6^2))</f>
        <v>0.58418615383885142</v>
      </c>
      <c r="BQ6">
        <v>0.54930250000000003</v>
      </c>
      <c r="BX6" s="17" t="s">
        <v>77</v>
      </c>
      <c r="BY6">
        <v>11.43</v>
      </c>
      <c r="BZ6">
        <v>150</v>
      </c>
      <c r="CA6">
        <f t="shared" si="0"/>
        <v>7.6200000000000004E-2</v>
      </c>
    </row>
    <row r="7" spans="1:79" s="1" customFormat="1" ht="17.5" thickTop="1" thickBot="1" x14ac:dyDescent="0.5">
      <c r="A7" s="2">
        <v>200.1</v>
      </c>
      <c r="B7" s="3">
        <v>-1.1399999999999999</v>
      </c>
      <c r="C7" s="4">
        <v>0.16</v>
      </c>
      <c r="D7" s="21">
        <v>1.2E-2</v>
      </c>
      <c r="E7" s="6">
        <v>358.1</v>
      </c>
      <c r="F7" s="7">
        <v>-1.9</v>
      </c>
      <c r="G7" s="8">
        <v>133</v>
      </c>
      <c r="H7" s="9">
        <v>140</v>
      </c>
      <c r="I7" s="7">
        <v>99.4</v>
      </c>
      <c r="J7" s="12">
        <f>[1]Sheet1!J8</f>
        <v>0</v>
      </c>
      <c r="K7" s="10">
        <f>[1]Sheet1!K8</f>
        <v>0</v>
      </c>
      <c r="L7" s="10">
        <f>[1]Sheet1!L8</f>
        <v>-0.02</v>
      </c>
      <c r="M7" s="10">
        <f>[1]Sheet1!M8</f>
        <v>-0.09</v>
      </c>
      <c r="N7" s="10">
        <f>[1]Sheet1!N8</f>
        <v>-0.23</v>
      </c>
      <c r="O7" s="10">
        <f>[1]Sheet1!O8</f>
        <v>-0.14000000000000001</v>
      </c>
      <c r="P7" s="10">
        <f>[1]Sheet1!P8</f>
        <v>-0.18</v>
      </c>
      <c r="Q7" s="10">
        <f>[1]Sheet1!Q8</f>
        <v>-0.16</v>
      </c>
      <c r="R7" s="10">
        <f>[1]Sheet1!R8</f>
        <v>-0.21</v>
      </c>
      <c r="S7" s="10">
        <f>[1]Sheet1!S8</f>
        <v>-0.16</v>
      </c>
      <c r="T7" s="10">
        <f>[1]Sheet1!T8</f>
        <v>-0.14000000000000001</v>
      </c>
      <c r="U7" s="10">
        <f>[1]Sheet1!U8</f>
        <v>-0.14000000000000001</v>
      </c>
      <c r="V7" s="10">
        <f>[1]Sheet1!V8</f>
        <v>-0.19</v>
      </c>
      <c r="W7" s="10">
        <f>[1]Sheet1!W8</f>
        <v>-0.13</v>
      </c>
      <c r="X7" s="10">
        <f>[1]Sheet1!X8</f>
        <v>-0.18</v>
      </c>
      <c r="Y7" s="10">
        <f>[1]Sheet1!Y8</f>
        <v>-0.14000000000000001</v>
      </c>
      <c r="Z7" s="10">
        <f>[1]Sheet1!Z8</f>
        <v>-0.16</v>
      </c>
      <c r="AA7" s="10">
        <f>[1]Sheet1!AA8</f>
        <v>-0.08</v>
      </c>
      <c r="AB7" s="10">
        <f>[1]Sheet1!AB8</f>
        <v>-0.05</v>
      </c>
      <c r="AC7" s="10">
        <f>[1]Sheet1!AC8</f>
        <v>0</v>
      </c>
      <c r="AD7" s="10">
        <f>[1]Sheet1!AD8</f>
        <v>0</v>
      </c>
      <c r="AE7" s="10">
        <f>[1]Sheet1!AE8</f>
        <v>0</v>
      </c>
      <c r="AF7" s="10">
        <f>[1]Sheet1!AF8</f>
        <v>0</v>
      </c>
      <c r="AG7" s="10">
        <f>[1]Sheet1!AG8</f>
        <v>0.01</v>
      </c>
      <c r="AH7" s="10">
        <f>[1]Sheet1!AH8</f>
        <v>0</v>
      </c>
      <c r="AI7" s="10">
        <f>[1]Sheet1!AI8</f>
        <v>0</v>
      </c>
      <c r="AJ7" s="10">
        <f>[1]Sheet1!AJ8</f>
        <v>0</v>
      </c>
      <c r="AK7" s="10">
        <f>[1]Sheet1!AK8</f>
        <v>0</v>
      </c>
      <c r="AL7" s="10">
        <f>[1]Sheet1!AL8</f>
        <v>0</v>
      </c>
      <c r="AM7" s="10">
        <f>[1]Sheet1!AM8</f>
        <v>0.01</v>
      </c>
      <c r="AN7" s="10">
        <f>[1]Sheet1!AN8</f>
        <v>-0.14000000000000001</v>
      </c>
      <c r="AO7" s="11">
        <f>[1]Sheet1!AO8</f>
        <v>0</v>
      </c>
      <c r="AP7" s="6">
        <v>22.8</v>
      </c>
      <c r="AQ7" s="10">
        <v>1.17</v>
      </c>
      <c r="AR7" s="10">
        <v>15.07</v>
      </c>
      <c r="AS7" s="11">
        <v>15.46</v>
      </c>
      <c r="AT7" s="23">
        <f t="shared" ref="AT7:AT74" si="1">B7/C7</f>
        <v>-7.1249999999999991</v>
      </c>
      <c r="AU7" s="22">
        <f t="shared" ref="AU7:AU19" si="2">B7/(0.5*AQ7*(AR7^2)*0.15*0.3)</f>
        <v>-0.19068211784441155</v>
      </c>
      <c r="AV7" s="23">
        <f t="shared" ref="AV7:AV19" si="3">C7/(0.5*AQ7*(AR7^2)*0.15*0.3)</f>
        <v>2.6762402504478817E-2</v>
      </c>
      <c r="AW7" s="22">
        <f t="shared" ref="AW7:AW19" si="4">D7/(0.5*AQ7*(AR7^2)*0.3*0.15*0.15)</f>
        <v>1.338120125223941E-2</v>
      </c>
      <c r="AX7">
        <f t="shared" ref="AX7:AX70" si="5">((J7-AN7)*10^3)/(0.5*AQ7*(AR7^2))</f>
        <v>1.0537695986138533</v>
      </c>
      <c r="AY7">
        <f t="shared" ref="AY7:AY70" si="6">((K7-AN7)*10^3)/(0.5*AQ7*(AR7^2))</f>
        <v>1.0537695986138533</v>
      </c>
      <c r="AZ7">
        <f t="shared" ref="AZ7:AZ70" si="7">((L7-AN7)*10^3)/(0.5*AQ7*(AR7^2))</f>
        <v>0.90323108452616008</v>
      </c>
      <c r="BA7">
        <f t="shared" ref="BA7:BA70" si="8">(M7-AN7)*10^3/(0.5*AQ7*(AR7^2))</f>
        <v>0.37634628521923347</v>
      </c>
      <c r="BB7">
        <f t="shared" ref="BB7:BB70" si="9">(N7-AN7)*10^3/(0.5*AQ7*(AR7^2))</f>
        <v>-0.67742331339462003</v>
      </c>
      <c r="BC7">
        <f t="shared" ref="BC7:BC70" si="10">(O7-AN7)*10^3/(0.5*AQ7*(AR7^2))</f>
        <v>0</v>
      </c>
      <c r="BD7">
        <f t="shared" ref="BD7:BD70" si="11">(P7-AN7)*10^3/(0.5*AQ7*(AR7^2))</f>
        <v>-0.30107702817538651</v>
      </c>
      <c r="BE7">
        <f t="shared" ref="BE7:BE70" si="12">(Q7-AN7)*10^3/(0.5*AQ7*(AR7^2))</f>
        <v>-0.15053851408769325</v>
      </c>
      <c r="BF7">
        <f t="shared" ref="BF7:BF70" si="13">(R7-AN7)*10^3/(0.5*AQ7*(AR7^2))</f>
        <v>-0.52688479930692655</v>
      </c>
      <c r="BG7">
        <f t="shared" ref="BG7:BG70" si="14">(S7-AN7)*10^3/(0.5*AQ7*(AR7^2))</f>
        <v>-0.15053851408769325</v>
      </c>
      <c r="BH7">
        <f t="shared" ref="BH7:BH70" si="15">(T7-AN7)*10^3/(0.5*AQ7*(AR7^2))</f>
        <v>0</v>
      </c>
      <c r="BI7">
        <f t="shared" ref="BI7:BI70" si="16">(U7-AN7)*10^3/(0.5*AQ7*(AR7^2))</f>
        <v>0</v>
      </c>
      <c r="BJ7">
        <f t="shared" ref="BJ7:BJ70" si="17">(V7-AN7)*10^3/(0.5*AQ7*(AR7^2))</f>
        <v>-0.37634628521923325</v>
      </c>
      <c r="BK7">
        <f t="shared" ref="BK7:BK70" si="18">(W7-AN7)*10^3/(0.5*AQ7*(AR7^2))</f>
        <v>7.5269257043846738E-2</v>
      </c>
      <c r="BL7">
        <f t="shared" ref="BL7:BL70" si="19">(X7-AN7)*10^3/(0.5*AQ7*(AR7^2))</f>
        <v>-0.30107702817538651</v>
      </c>
      <c r="BM7">
        <f t="shared" ref="BM7:BM70" si="20">(Y7-AN7)*10^3/(0.5*AQ7*(AR7^2))</f>
        <v>0</v>
      </c>
      <c r="BN7">
        <f t="shared" ref="BN7:BN70" si="21">(Z7-AN7)*10^3/(0.5*AQ7*(AR7^2))</f>
        <v>-0.15053851408769325</v>
      </c>
      <c r="BO7">
        <f t="shared" ref="BO7:BO70" si="22">(AA7-AN7)*10^3/(0.5*AQ7*(AR7^2))</f>
        <v>0.45161554226308009</v>
      </c>
      <c r="BP7">
        <f t="shared" ref="BP7:BP70" si="23">(AB7-AN7)*10^3/(0.5*AQ7*(AR7^2))</f>
        <v>0.67742331339462014</v>
      </c>
      <c r="BQ7">
        <f t="shared" ref="BQ7:BQ70" si="24">(AC7-AN7)*10^3/(0.5*AQ7*(AR7^2))</f>
        <v>1.0537695986138533</v>
      </c>
      <c r="BX7" s="17" t="s">
        <v>78</v>
      </c>
      <c r="BY7">
        <v>15.24</v>
      </c>
      <c r="BZ7">
        <v>150</v>
      </c>
      <c r="CA7">
        <f t="shared" si="0"/>
        <v>0.1016</v>
      </c>
    </row>
    <row r="8" spans="1:79" s="1" customFormat="1" ht="17.5" thickTop="1" thickBot="1" x14ac:dyDescent="0.5">
      <c r="A8" s="2">
        <v>0</v>
      </c>
      <c r="B8" s="3">
        <v>0.56000000000000005</v>
      </c>
      <c r="C8" s="4">
        <v>0.11</v>
      </c>
      <c r="D8" s="5">
        <v>0.01</v>
      </c>
      <c r="E8" s="6">
        <v>0.4</v>
      </c>
      <c r="F8" s="7">
        <v>0.4</v>
      </c>
      <c r="G8" s="8">
        <v>135</v>
      </c>
      <c r="H8" s="9">
        <v>138</v>
      </c>
      <c r="I8" s="7">
        <v>99.4</v>
      </c>
      <c r="J8" s="12">
        <f>[1]Sheet1!J9</f>
        <v>0</v>
      </c>
      <c r="K8" s="10">
        <f>[1]Sheet1!K9</f>
        <v>0</v>
      </c>
      <c r="L8" s="10">
        <v>-0.03</v>
      </c>
      <c r="M8" s="10">
        <v>-0.03</v>
      </c>
      <c r="N8" s="10">
        <v>-0.16</v>
      </c>
      <c r="O8" s="10">
        <v>-0.15</v>
      </c>
      <c r="P8" s="10">
        <v>-0.2</v>
      </c>
      <c r="Q8" s="10">
        <v>-0.19</v>
      </c>
      <c r="R8" s="10">
        <v>-0.17</v>
      </c>
      <c r="S8" s="10">
        <v>-0.15</v>
      </c>
      <c r="T8" s="10">
        <f>[1]Sheet1!T9</f>
        <v>-0.13</v>
      </c>
      <c r="U8" s="10">
        <v>-0.15</v>
      </c>
      <c r="V8" s="10">
        <v>-0.13</v>
      </c>
      <c r="W8" s="10">
        <f>[1]Sheet1!W9</f>
        <v>-0.14000000000000001</v>
      </c>
      <c r="X8" s="10">
        <v>-0.11</v>
      </c>
      <c r="Y8" s="10">
        <v>-0.12</v>
      </c>
      <c r="Z8" s="10">
        <v>-7.0000000000000007E-2</v>
      </c>
      <c r="AA8" s="10">
        <f>[1]Sheet1!AA9</f>
        <v>-0.09</v>
      </c>
      <c r="AB8" s="10">
        <f>[1]Sheet1!AB9</f>
        <v>-0.05</v>
      </c>
      <c r="AC8" s="10">
        <v>-0.03</v>
      </c>
      <c r="AD8" s="10">
        <f>[1]Sheet1!AD9</f>
        <v>0</v>
      </c>
      <c r="AE8" s="10">
        <f>[1]Sheet1!AE9</f>
        <v>0</v>
      </c>
      <c r="AF8" s="10">
        <f>[1]Sheet1!AF9</f>
        <v>0</v>
      </c>
      <c r="AG8" s="10">
        <f>[1]Sheet1!AG9</f>
        <v>0.01</v>
      </c>
      <c r="AH8" s="10">
        <f>[1]Sheet1!AH9</f>
        <v>0</v>
      </c>
      <c r="AI8" s="10">
        <f>[1]Sheet1!AI9</f>
        <v>0</v>
      </c>
      <c r="AJ8" s="10">
        <f>[1]Sheet1!AJ9</f>
        <v>0</v>
      </c>
      <c r="AK8" s="10">
        <f>[1]Sheet1!AK9</f>
        <v>0</v>
      </c>
      <c r="AL8" s="10">
        <f>[1]Sheet1!AL9</f>
        <v>0</v>
      </c>
      <c r="AM8" s="10">
        <f>[1]Sheet1!AM9</f>
        <v>0.01</v>
      </c>
      <c r="AN8" s="10">
        <f>[1]Sheet1!AN9</f>
        <v>-0.13</v>
      </c>
      <c r="AO8" s="11">
        <f>[1]Sheet1!AO9</f>
        <v>0</v>
      </c>
      <c r="AP8" s="6">
        <v>22.8</v>
      </c>
      <c r="AQ8" s="10">
        <v>1.17</v>
      </c>
      <c r="AR8" s="10">
        <v>15.19</v>
      </c>
      <c r="AS8" s="11">
        <v>15.35</v>
      </c>
      <c r="AT8" s="23">
        <f t="shared" si="1"/>
        <v>5.0909090909090917</v>
      </c>
      <c r="AU8" s="22">
        <f t="shared" si="2"/>
        <v>9.2194305988044109E-2</v>
      </c>
      <c r="AV8" s="23">
        <f t="shared" si="3"/>
        <v>1.8109595819080091E-2</v>
      </c>
      <c r="AW8" s="22">
        <f t="shared" si="4"/>
        <v>1.0975512617624299E-2</v>
      </c>
      <c r="AX8">
        <f t="shared" si="5"/>
        <v>0.96310123219653199</v>
      </c>
      <c r="AY8">
        <f t="shared" si="6"/>
        <v>0.96310123219653199</v>
      </c>
      <c r="AZ8">
        <f t="shared" si="7"/>
        <v>0.74084710168964008</v>
      </c>
      <c r="BA8">
        <f t="shared" si="8"/>
        <v>0.74084710168964008</v>
      </c>
      <c r="BB8">
        <f t="shared" si="9"/>
        <v>-0.22225413050689202</v>
      </c>
      <c r="BC8">
        <f t="shared" si="10"/>
        <v>-0.14816942033792793</v>
      </c>
      <c r="BD8">
        <v>-0.48859297099999999</v>
      </c>
      <c r="BE8">
        <f t="shared" si="12"/>
        <v>-0.44450826101378405</v>
      </c>
      <c r="BF8">
        <f t="shared" si="13"/>
        <v>-0.29633884067585609</v>
      </c>
      <c r="BG8">
        <f t="shared" si="14"/>
        <v>-0.14816942033792793</v>
      </c>
      <c r="BH8">
        <v>-0.14816942</v>
      </c>
      <c r="BI8">
        <v>0</v>
      </c>
      <c r="BJ8">
        <f>(W8-AN8)*10^3/(0.5*AQ8*(AR8^2))</f>
        <v>-7.4084710168964063E-2</v>
      </c>
      <c r="BK8">
        <v>7.8169420000000003E-2</v>
      </c>
      <c r="BL8">
        <f>(Y8-AN8)*10^3/(0.5*AQ8*(AR8^2))</f>
        <v>7.4084710168964063E-2</v>
      </c>
      <c r="BM8">
        <v>0.144508261</v>
      </c>
      <c r="BN8">
        <f>(AA8-AN8)*10^3/(0.5*AQ8*(AR8^2))</f>
        <v>0.29633884067585609</v>
      </c>
      <c r="BO8">
        <v>0.392677681</v>
      </c>
      <c r="BP8">
        <f>(AC8-AN8)*10^3/(0.5*AQ8*(AR8^2))</f>
        <v>0.74084710168964008</v>
      </c>
      <c r="BQ8">
        <v>0.74168540000000005</v>
      </c>
      <c r="BX8" s="17" t="s">
        <v>79</v>
      </c>
      <c r="BY8">
        <v>19.05</v>
      </c>
      <c r="BZ8">
        <v>150</v>
      </c>
      <c r="CA8">
        <f t="shared" si="0"/>
        <v>0.127</v>
      </c>
    </row>
    <row r="9" spans="1:79" s="1" customFormat="1" ht="17.5" thickTop="1" thickBot="1" x14ac:dyDescent="0.5">
      <c r="A9" s="2">
        <v>454.4</v>
      </c>
      <c r="B9" s="3">
        <v>1.85</v>
      </c>
      <c r="C9" s="4">
        <v>0.15</v>
      </c>
      <c r="D9" s="5">
        <v>1.6E-2</v>
      </c>
      <c r="E9" s="6">
        <v>2.1</v>
      </c>
      <c r="F9" s="7">
        <v>2.1</v>
      </c>
      <c r="G9" s="8">
        <v>134</v>
      </c>
      <c r="H9" s="9">
        <v>130</v>
      </c>
      <c r="I9" s="7">
        <v>99.4</v>
      </c>
      <c r="J9" s="12">
        <f>[1]Sheet1!J10</f>
        <v>0</v>
      </c>
      <c r="K9" s="10">
        <f>[1]Sheet1!K10</f>
        <v>0</v>
      </c>
      <c r="L9" s="10">
        <f>[1]Sheet1!L10</f>
        <v>0</v>
      </c>
      <c r="M9" s="10">
        <f>[1]Sheet1!M10</f>
        <v>-0.19</v>
      </c>
      <c r="N9" s="10">
        <f>[1]Sheet1!N10</f>
        <v>-0.15</v>
      </c>
      <c r="O9" s="10">
        <f>[1]Sheet1!O10</f>
        <v>-0.22</v>
      </c>
      <c r="P9" s="10">
        <f>[1]Sheet1!P10</f>
        <v>-0.12</v>
      </c>
      <c r="Q9" s="10">
        <f>[1]Sheet1!Q10</f>
        <v>-0.23</v>
      </c>
      <c r="R9" s="10">
        <f>[1]Sheet1!R10</f>
        <v>-0.16</v>
      </c>
      <c r="S9" s="10">
        <f>[1]Sheet1!S10</f>
        <v>-0.21</v>
      </c>
      <c r="T9" s="10">
        <f>[1]Sheet1!T10</f>
        <v>-0.11</v>
      </c>
      <c r="U9" s="10">
        <f>[1]Sheet1!U10</f>
        <v>-0.18</v>
      </c>
      <c r="V9" s="10">
        <f>[1]Sheet1!V10</f>
        <v>-0.17</v>
      </c>
      <c r="W9" s="10">
        <f>[1]Sheet1!W10</f>
        <v>-0.14000000000000001</v>
      </c>
      <c r="X9" s="10">
        <f>[1]Sheet1!X10</f>
        <v>-0.14000000000000001</v>
      </c>
      <c r="Y9" s="10">
        <f>[1]Sheet1!Y10</f>
        <v>-0.17</v>
      </c>
      <c r="Z9" s="10">
        <f>[1]Sheet1!Z10</f>
        <v>-0.14000000000000001</v>
      </c>
      <c r="AA9" s="10">
        <f>[1]Sheet1!AA10</f>
        <v>-0.1</v>
      </c>
      <c r="AB9" s="10">
        <f>[1]Sheet1!AB10</f>
        <v>-0.05</v>
      </c>
      <c r="AC9" s="10">
        <f>[1]Sheet1!AC10</f>
        <v>0</v>
      </c>
      <c r="AD9" s="10">
        <f>[1]Sheet1!AD10</f>
        <v>0</v>
      </c>
      <c r="AE9" s="10">
        <f>[1]Sheet1!AE10</f>
        <v>0</v>
      </c>
      <c r="AF9" s="10">
        <f>[1]Sheet1!AF10</f>
        <v>0</v>
      </c>
      <c r="AG9" s="10">
        <f>[1]Sheet1!AG10</f>
        <v>0.01</v>
      </c>
      <c r="AH9" s="10">
        <f>[1]Sheet1!AH10</f>
        <v>0</v>
      </c>
      <c r="AI9" s="10">
        <f>[1]Sheet1!AI10</f>
        <v>0</v>
      </c>
      <c r="AJ9" s="10">
        <f>[1]Sheet1!AJ10</f>
        <v>0</v>
      </c>
      <c r="AK9" s="10">
        <f>[1]Sheet1!AK10</f>
        <v>0</v>
      </c>
      <c r="AL9" s="10">
        <f>[1]Sheet1!AL10</f>
        <v>0</v>
      </c>
      <c r="AM9" s="10">
        <f>[1]Sheet1!AM10</f>
        <v>0.01</v>
      </c>
      <c r="AN9" s="10">
        <f>[1]Sheet1!AN10</f>
        <v>-0.14000000000000001</v>
      </c>
      <c r="AO9" s="11">
        <f>[1]Sheet1!AO10</f>
        <v>0</v>
      </c>
      <c r="AP9" s="6">
        <v>22.8</v>
      </c>
      <c r="AQ9" s="10">
        <v>1.17</v>
      </c>
      <c r="AR9" s="10">
        <v>15.13</v>
      </c>
      <c r="AS9" s="11">
        <v>14.9</v>
      </c>
      <c r="AT9" s="23">
        <f t="shared" si="1"/>
        <v>12.333333333333334</v>
      </c>
      <c r="AU9" s="22">
        <f t="shared" si="2"/>
        <v>0.30699089324002266</v>
      </c>
      <c r="AV9" s="23">
        <f t="shared" si="3"/>
        <v>2.4891153505947779E-2</v>
      </c>
      <c r="AW9" s="22">
        <f t="shared" si="4"/>
        <v>1.7700375826451755E-2</v>
      </c>
      <c r="AX9">
        <f t="shared" si="5"/>
        <v>1.0454284472498068</v>
      </c>
      <c r="AY9">
        <f t="shared" si="6"/>
        <v>1.0454284472498068</v>
      </c>
      <c r="AZ9">
        <f t="shared" si="7"/>
        <v>1.0454284472498068</v>
      </c>
      <c r="BA9">
        <f t="shared" si="8"/>
        <v>-0.37336730258921658</v>
      </c>
      <c r="BB9">
        <f t="shared" si="9"/>
        <v>-7.4673460517843196E-2</v>
      </c>
      <c r="BC9">
        <f t="shared" si="10"/>
        <v>-0.59738768414274657</v>
      </c>
      <c r="BD9">
        <f t="shared" si="11"/>
        <v>0.14934692103568681</v>
      </c>
      <c r="BE9">
        <f t="shared" si="12"/>
        <v>-0.67206114466059008</v>
      </c>
      <c r="BF9">
        <f t="shared" si="13"/>
        <v>-0.14934692103568659</v>
      </c>
      <c r="BG9">
        <f t="shared" si="14"/>
        <v>-0.52271422362490327</v>
      </c>
      <c r="BH9">
        <f t="shared" si="15"/>
        <v>0.22402038155353013</v>
      </c>
      <c r="BI9">
        <f t="shared" si="16"/>
        <v>-0.29869384207137317</v>
      </c>
      <c r="BJ9">
        <f t="shared" si="17"/>
        <v>-0.22402038155353002</v>
      </c>
      <c r="BK9">
        <f t="shared" si="18"/>
        <v>0</v>
      </c>
      <c r="BL9">
        <f t="shared" si="19"/>
        <v>0</v>
      </c>
      <c r="BM9">
        <f t="shared" si="20"/>
        <v>-0.22402038155353002</v>
      </c>
      <c r="BN9">
        <f t="shared" si="21"/>
        <v>0</v>
      </c>
      <c r="BO9">
        <f t="shared" si="22"/>
        <v>0.29869384207137339</v>
      </c>
      <c r="BP9">
        <f t="shared" si="23"/>
        <v>0.67206114466059019</v>
      </c>
      <c r="BQ9">
        <f t="shared" si="24"/>
        <v>1.0454284472498068</v>
      </c>
      <c r="BX9" s="17" t="s">
        <v>80</v>
      </c>
      <c r="BY9">
        <v>22.86</v>
      </c>
      <c r="BZ9">
        <v>150</v>
      </c>
      <c r="CA9">
        <f t="shared" si="0"/>
        <v>0.15240000000000001</v>
      </c>
    </row>
    <row r="10" spans="1:79" s="1" customFormat="1" ht="17.5" thickTop="1" thickBot="1" x14ac:dyDescent="0.5">
      <c r="A10" s="2">
        <v>713.3</v>
      </c>
      <c r="B10" s="3">
        <v>2.9</v>
      </c>
      <c r="C10" s="4">
        <v>0.18</v>
      </c>
      <c r="D10" s="5">
        <v>1.7999999999999999E-2</v>
      </c>
      <c r="E10" s="6">
        <v>4.0999999999999996</v>
      </c>
      <c r="F10" s="7">
        <v>4.0999999999999996</v>
      </c>
      <c r="G10" s="8">
        <v>123</v>
      </c>
      <c r="H10" s="9">
        <v>126</v>
      </c>
      <c r="I10" s="7">
        <v>99.4</v>
      </c>
      <c r="J10" s="12">
        <f>[1]Sheet1!J11</f>
        <v>0</v>
      </c>
      <c r="K10" s="10">
        <f>[1]Sheet1!K11</f>
        <v>0</v>
      </c>
      <c r="L10" s="10">
        <f>[1]Sheet1!L11</f>
        <v>0</v>
      </c>
      <c r="M10" s="10">
        <f>[1]Sheet1!M11</f>
        <v>-0.24</v>
      </c>
      <c r="N10" s="10">
        <f>[1]Sheet1!N11</f>
        <v>-0.12</v>
      </c>
      <c r="O10" s="10">
        <f>[1]Sheet1!O11</f>
        <v>-0.25</v>
      </c>
      <c r="P10" s="10">
        <f>[1]Sheet1!P11</f>
        <v>-0.1</v>
      </c>
      <c r="Q10" s="10">
        <f>[1]Sheet1!Q11</f>
        <v>-0.26</v>
      </c>
      <c r="R10" s="10">
        <f>[1]Sheet1!R11</f>
        <v>-0.15</v>
      </c>
      <c r="S10" s="10">
        <f>[1]Sheet1!S11</f>
        <v>-0.22</v>
      </c>
      <c r="T10" s="10">
        <f>[1]Sheet1!T11</f>
        <v>-0.11</v>
      </c>
      <c r="U10" s="10">
        <f>[1]Sheet1!U11</f>
        <v>-0.19</v>
      </c>
      <c r="V10" s="10">
        <f>[1]Sheet1!V11</f>
        <v>-0.16</v>
      </c>
      <c r="W10" s="10">
        <f>[1]Sheet1!W11</f>
        <v>-0.16</v>
      </c>
      <c r="X10" s="10">
        <f>[1]Sheet1!X11</f>
        <v>-0.14000000000000001</v>
      </c>
      <c r="Y10" s="10">
        <f>[1]Sheet1!Y11</f>
        <v>-0.16</v>
      </c>
      <c r="Z10" s="10">
        <f>[1]Sheet1!Z11</f>
        <v>-0.14000000000000001</v>
      </c>
      <c r="AA10" s="10">
        <f>[1]Sheet1!AA11</f>
        <v>-0.1</v>
      </c>
      <c r="AB10" s="10">
        <f>[1]Sheet1!AB11</f>
        <v>-0.04</v>
      </c>
      <c r="AC10" s="10">
        <f>[1]Sheet1!AC11</f>
        <v>0</v>
      </c>
      <c r="AD10" s="10">
        <f>[1]Sheet1!AD11</f>
        <v>0.01</v>
      </c>
      <c r="AE10" s="10">
        <f>[1]Sheet1!AE11</f>
        <v>0</v>
      </c>
      <c r="AF10" s="10">
        <f>[1]Sheet1!AF11</f>
        <v>0</v>
      </c>
      <c r="AG10" s="10">
        <f>[1]Sheet1!AG11</f>
        <v>0.01</v>
      </c>
      <c r="AH10" s="10">
        <f>[1]Sheet1!AH11</f>
        <v>0</v>
      </c>
      <c r="AI10" s="10">
        <f>[1]Sheet1!AI11</f>
        <v>0</v>
      </c>
      <c r="AJ10" s="10">
        <f>[1]Sheet1!AJ11</f>
        <v>0</v>
      </c>
      <c r="AK10" s="10">
        <f>[1]Sheet1!AK11</f>
        <v>0</v>
      </c>
      <c r="AL10" s="10">
        <f>[1]Sheet1!AL11</f>
        <v>0</v>
      </c>
      <c r="AM10" s="10">
        <f>[1]Sheet1!AM11</f>
        <v>0.01</v>
      </c>
      <c r="AN10" s="10">
        <f>[1]Sheet1!AN11</f>
        <v>-0.14000000000000001</v>
      </c>
      <c r="AO10" s="11">
        <f>[1]Sheet1!AO11</f>
        <v>0</v>
      </c>
      <c r="AP10" s="6">
        <v>22.8</v>
      </c>
      <c r="AQ10" s="10">
        <v>1.17</v>
      </c>
      <c r="AR10" s="10">
        <v>14.49</v>
      </c>
      <c r="AS10" s="11">
        <v>14.67</v>
      </c>
      <c r="AT10" s="23">
        <f t="shared" si="1"/>
        <v>16.111111111111111</v>
      </c>
      <c r="AU10" s="22">
        <f t="shared" si="2"/>
        <v>0.52467799117440328</v>
      </c>
      <c r="AV10" s="23">
        <f t="shared" si="3"/>
        <v>3.2566220141859517E-2</v>
      </c>
      <c r="AW10" s="22">
        <f t="shared" si="4"/>
        <v>2.1710813427906341E-2</v>
      </c>
      <c r="AX10">
        <f t="shared" si="5"/>
        <v>1.1398177049650831</v>
      </c>
      <c r="AY10">
        <f t="shared" si="6"/>
        <v>1.1398177049650831</v>
      </c>
      <c r="AZ10">
        <f t="shared" si="7"/>
        <v>1.1398177049650831</v>
      </c>
      <c r="BA10">
        <f t="shared" si="8"/>
        <v>-0.81415550354648769</v>
      </c>
      <c r="BB10">
        <f t="shared" si="9"/>
        <v>0.16283110070929771</v>
      </c>
      <c r="BC10">
        <f t="shared" si="10"/>
        <v>-0.89557105390113656</v>
      </c>
      <c r="BD10">
        <f t="shared" si="11"/>
        <v>0.3256622014185952</v>
      </c>
      <c r="BE10">
        <f t="shared" si="12"/>
        <v>-0.97698660425578543</v>
      </c>
      <c r="BF10">
        <f t="shared" si="13"/>
        <v>-8.1415550354648633E-2</v>
      </c>
      <c r="BG10">
        <f t="shared" si="14"/>
        <v>-0.65132440283719018</v>
      </c>
      <c r="BH10">
        <f t="shared" si="15"/>
        <v>0.24424665106394647</v>
      </c>
      <c r="BI10">
        <f t="shared" si="16"/>
        <v>-0.40707775177324385</v>
      </c>
      <c r="BJ10">
        <f t="shared" si="17"/>
        <v>-0.16283110070929749</v>
      </c>
      <c r="BK10">
        <f t="shared" si="18"/>
        <v>-0.16283110070929749</v>
      </c>
      <c r="BL10">
        <f t="shared" si="19"/>
        <v>0</v>
      </c>
      <c r="BM10">
        <f t="shared" si="20"/>
        <v>-0.16283110070929749</v>
      </c>
      <c r="BN10">
        <f t="shared" si="21"/>
        <v>0</v>
      </c>
      <c r="BO10">
        <f t="shared" si="22"/>
        <v>0.3256622014185952</v>
      </c>
      <c r="BP10">
        <f t="shared" si="23"/>
        <v>0.81415550354648791</v>
      </c>
      <c r="BQ10">
        <f t="shared" si="24"/>
        <v>1.1398177049650831</v>
      </c>
      <c r="BX10" s="17" t="s">
        <v>81</v>
      </c>
      <c r="BY10">
        <v>38</v>
      </c>
      <c r="BZ10">
        <v>150</v>
      </c>
      <c r="CA10">
        <f t="shared" si="0"/>
        <v>0.25333333333333335</v>
      </c>
    </row>
    <row r="11" spans="1:79" s="1" customFormat="1" ht="17.5" thickTop="1" thickBot="1" x14ac:dyDescent="0.5">
      <c r="A11" s="2">
        <v>995.6</v>
      </c>
      <c r="B11" s="3">
        <v>4.59</v>
      </c>
      <c r="C11" s="4">
        <v>0.23</v>
      </c>
      <c r="D11" s="5">
        <v>0.03</v>
      </c>
      <c r="E11" s="6">
        <v>6.1</v>
      </c>
      <c r="F11" s="7">
        <v>6.1</v>
      </c>
      <c r="G11" s="8">
        <v>133</v>
      </c>
      <c r="H11" s="9">
        <v>128</v>
      </c>
      <c r="I11" s="7">
        <v>99.4</v>
      </c>
      <c r="J11" s="12">
        <f>[1]Sheet1!J12</f>
        <v>0</v>
      </c>
      <c r="K11" s="10">
        <f>[1]Sheet1!K12</f>
        <v>0</v>
      </c>
      <c r="L11" s="10">
        <f>[1]Sheet1!L12</f>
        <v>0</v>
      </c>
      <c r="M11" s="10">
        <f>[1]Sheet1!M12</f>
        <v>-0.28000000000000003</v>
      </c>
      <c r="N11" s="10">
        <f>[1]Sheet1!N12</f>
        <v>-0.09</v>
      </c>
      <c r="O11" s="10">
        <f>[1]Sheet1!O12</f>
        <v>-0.3</v>
      </c>
      <c r="P11" s="10">
        <f>[1]Sheet1!P12</f>
        <v>-0.08</v>
      </c>
      <c r="Q11" s="10">
        <f>[1]Sheet1!Q12</f>
        <v>-0.28999999999999998</v>
      </c>
      <c r="R11" s="10">
        <f>[1]Sheet1!R12</f>
        <v>-0.13</v>
      </c>
      <c r="S11" s="10">
        <f>[1]Sheet1!S12</f>
        <v>-0.24</v>
      </c>
      <c r="T11" s="10">
        <f>[1]Sheet1!T12</f>
        <v>-0.1</v>
      </c>
      <c r="U11" s="10">
        <f>[1]Sheet1!U12</f>
        <v>-0.19</v>
      </c>
      <c r="V11" s="10">
        <f>[1]Sheet1!V12</f>
        <v>-0.14000000000000001</v>
      </c>
      <c r="W11" s="10">
        <f>[1]Sheet1!W12</f>
        <v>-0.14000000000000001</v>
      </c>
      <c r="X11" s="10">
        <f>[1]Sheet1!X12</f>
        <v>-0.14000000000000001</v>
      </c>
      <c r="Y11" s="10">
        <f>[1]Sheet1!Y12</f>
        <v>-0.17</v>
      </c>
      <c r="Z11" s="10">
        <f>[1]Sheet1!Z12</f>
        <v>-0.14000000000000001</v>
      </c>
      <c r="AA11" s="10">
        <f>[1]Sheet1!AA12</f>
        <v>-0.1</v>
      </c>
      <c r="AB11" s="10">
        <f>[1]Sheet1!AB12</f>
        <v>-0.04</v>
      </c>
      <c r="AC11" s="10">
        <f>[1]Sheet1!AC12</f>
        <v>0</v>
      </c>
      <c r="AD11" s="10">
        <f>[1]Sheet1!AD12</f>
        <v>0.01</v>
      </c>
      <c r="AE11" s="10">
        <f>[1]Sheet1!AE12</f>
        <v>0</v>
      </c>
      <c r="AF11" s="10">
        <f>[1]Sheet1!AF12</f>
        <v>0</v>
      </c>
      <c r="AG11" s="10">
        <f>[1]Sheet1!AG12</f>
        <v>0.01</v>
      </c>
      <c r="AH11" s="10">
        <f>[1]Sheet1!AH12</f>
        <v>0</v>
      </c>
      <c r="AI11" s="10">
        <f>[1]Sheet1!AI12</f>
        <v>0</v>
      </c>
      <c r="AJ11" s="10">
        <f>[1]Sheet1!AJ12</f>
        <v>0</v>
      </c>
      <c r="AK11" s="10">
        <f>[1]Sheet1!AK12</f>
        <v>0</v>
      </c>
      <c r="AL11" s="10">
        <f>[1]Sheet1!AL12</f>
        <v>0</v>
      </c>
      <c r="AM11" s="10">
        <f>[1]Sheet1!AM12</f>
        <v>0.01</v>
      </c>
      <c r="AN11" s="10">
        <f>[1]Sheet1!AN12</f>
        <v>-0.13</v>
      </c>
      <c r="AO11" s="11">
        <f>[1]Sheet1!AO12</f>
        <v>0</v>
      </c>
      <c r="AP11" s="6">
        <v>22.8</v>
      </c>
      <c r="AQ11" s="10">
        <v>1.17</v>
      </c>
      <c r="AR11" s="10">
        <v>15.07</v>
      </c>
      <c r="AS11" s="11">
        <v>14.79</v>
      </c>
      <c r="AT11" s="23">
        <f t="shared" si="1"/>
        <v>19.956521739130434</v>
      </c>
      <c r="AU11" s="22">
        <f t="shared" si="2"/>
        <v>0.76774642184723607</v>
      </c>
      <c r="AV11" s="23">
        <f t="shared" si="3"/>
        <v>3.8470953600188304E-2</v>
      </c>
      <c r="AW11" s="22">
        <f t="shared" si="4"/>
        <v>3.345300313059852E-2</v>
      </c>
      <c r="AX11">
        <f t="shared" si="5"/>
        <v>0.97850034157000665</v>
      </c>
      <c r="AY11">
        <f t="shared" si="6"/>
        <v>0.97850034157000665</v>
      </c>
      <c r="AZ11">
        <f t="shared" si="7"/>
        <v>0.97850034157000665</v>
      </c>
      <c r="BA11">
        <f t="shared" si="8"/>
        <v>-1.1290388556577002</v>
      </c>
      <c r="BB11">
        <f t="shared" si="9"/>
        <v>0.30107702817538673</v>
      </c>
      <c r="BC11">
        <f t="shared" si="10"/>
        <v>-1.2795773697453932</v>
      </c>
      <c r="BD11">
        <f t="shared" si="11"/>
        <v>0.37634628521923336</v>
      </c>
      <c r="BE11">
        <f t="shared" si="12"/>
        <v>-1.2043081127015465</v>
      </c>
      <c r="BF11">
        <f t="shared" si="13"/>
        <v>0</v>
      </c>
      <c r="BG11">
        <f t="shared" si="14"/>
        <v>-0.82796182748231328</v>
      </c>
      <c r="BH11">
        <f t="shared" si="15"/>
        <v>0.22580777113153999</v>
      </c>
      <c r="BI11">
        <f t="shared" si="16"/>
        <v>-0.45161554226307998</v>
      </c>
      <c r="BJ11">
        <f t="shared" si="17"/>
        <v>-7.5269257043846738E-2</v>
      </c>
      <c r="BK11">
        <f t="shared" si="18"/>
        <v>-7.5269257043846738E-2</v>
      </c>
      <c r="BL11">
        <f t="shared" si="19"/>
        <v>-7.5269257043846738E-2</v>
      </c>
      <c r="BM11">
        <f t="shared" si="20"/>
        <v>-0.30107702817538673</v>
      </c>
      <c r="BN11">
        <f t="shared" si="21"/>
        <v>-7.5269257043846738E-2</v>
      </c>
      <c r="BO11">
        <f t="shared" si="22"/>
        <v>0.22580777113153999</v>
      </c>
      <c r="BP11">
        <f t="shared" si="23"/>
        <v>0.67742331339462003</v>
      </c>
      <c r="BQ11">
        <f t="shared" si="24"/>
        <v>0.97850034157000665</v>
      </c>
      <c r="BX11" s="17" t="s">
        <v>82</v>
      </c>
      <c r="BY11">
        <v>41.15</v>
      </c>
      <c r="BZ11">
        <v>150</v>
      </c>
      <c r="CA11">
        <f t="shared" si="0"/>
        <v>0.27433333333333332</v>
      </c>
    </row>
    <row r="12" spans="1:79" s="1" customFormat="1" ht="17.5" thickTop="1" thickBot="1" x14ac:dyDescent="0.5">
      <c r="A12" s="2">
        <v>1197.3</v>
      </c>
      <c r="B12" s="3">
        <v>5.98</v>
      </c>
      <c r="C12" s="4">
        <v>0.35</v>
      </c>
      <c r="D12" s="5">
        <v>0.05</v>
      </c>
      <c r="E12" s="6">
        <v>8.1</v>
      </c>
      <c r="F12" s="7">
        <v>8.1</v>
      </c>
      <c r="G12" s="8">
        <v>136</v>
      </c>
      <c r="H12" s="9">
        <v>136</v>
      </c>
      <c r="I12" s="7">
        <v>99.4</v>
      </c>
      <c r="J12" s="12">
        <f>[1]Sheet1!J13</f>
        <v>0</v>
      </c>
      <c r="K12" s="10">
        <f>[1]Sheet1!K13</f>
        <v>-0.02</v>
      </c>
      <c r="L12" s="10">
        <f>[1]Sheet1!L13</f>
        <v>0.01</v>
      </c>
      <c r="M12" s="10">
        <f>[1]Sheet1!M13</f>
        <v>-0.33</v>
      </c>
      <c r="N12" s="10">
        <f>[1]Sheet1!N13</f>
        <v>-7.0000000000000007E-2</v>
      </c>
      <c r="O12" s="10">
        <f>[1]Sheet1!O13</f>
        <v>-0.38</v>
      </c>
      <c r="P12" s="10">
        <f>[1]Sheet1!P13</f>
        <v>-0.06</v>
      </c>
      <c r="Q12" s="10">
        <f>[1]Sheet1!Q13</f>
        <v>-0.28000000000000003</v>
      </c>
      <c r="R12" s="10">
        <f>[1]Sheet1!R13</f>
        <v>-0.12</v>
      </c>
      <c r="S12" s="10">
        <f>[1]Sheet1!S13</f>
        <v>-0.24</v>
      </c>
      <c r="T12" s="10">
        <f>[1]Sheet1!T13</f>
        <v>-0.09</v>
      </c>
      <c r="U12" s="10">
        <f>[1]Sheet1!U13</f>
        <v>-0.21</v>
      </c>
      <c r="V12" s="10">
        <f>[1]Sheet1!V13</f>
        <v>-0.14000000000000001</v>
      </c>
      <c r="W12" s="10">
        <f>[1]Sheet1!W13</f>
        <v>-0.14000000000000001</v>
      </c>
      <c r="X12" s="10">
        <f>[1]Sheet1!X13</f>
        <v>-0.13</v>
      </c>
      <c r="Y12" s="10">
        <f>[1]Sheet1!Y13</f>
        <v>-0.18</v>
      </c>
      <c r="Z12" s="10">
        <f>[1]Sheet1!Z13</f>
        <v>-0.14000000000000001</v>
      </c>
      <c r="AA12" s="10">
        <f>[1]Sheet1!AA13</f>
        <v>-0.1</v>
      </c>
      <c r="AB12" s="10">
        <f>[1]Sheet1!AB13</f>
        <v>-0.04</v>
      </c>
      <c r="AC12" s="10">
        <f>[1]Sheet1!AC13</f>
        <v>0</v>
      </c>
      <c r="AD12" s="10">
        <f>[1]Sheet1!AD13</f>
        <v>0.01</v>
      </c>
      <c r="AE12" s="10">
        <f>[1]Sheet1!AE13</f>
        <v>0</v>
      </c>
      <c r="AF12" s="10">
        <f>[1]Sheet1!AF13</f>
        <v>0</v>
      </c>
      <c r="AG12" s="10">
        <f>[1]Sheet1!AG13</f>
        <v>0.01</v>
      </c>
      <c r="AH12" s="10">
        <f>[1]Sheet1!AH13</f>
        <v>0</v>
      </c>
      <c r="AI12" s="10">
        <f>[1]Sheet1!AI13</f>
        <v>0</v>
      </c>
      <c r="AJ12" s="10">
        <f>[1]Sheet1!AJ13</f>
        <v>0</v>
      </c>
      <c r="AK12" s="10">
        <f>[1]Sheet1!AK13</f>
        <v>0</v>
      </c>
      <c r="AL12" s="10">
        <f>[1]Sheet1!AL13</f>
        <v>0</v>
      </c>
      <c r="AM12" s="10">
        <f>[1]Sheet1!AM13</f>
        <v>0.01</v>
      </c>
      <c r="AN12" s="10">
        <f>[1]Sheet1!AN13</f>
        <v>-0.13</v>
      </c>
      <c r="AO12" s="11">
        <f>[1]Sheet1!AO13</f>
        <v>0</v>
      </c>
      <c r="AP12" s="6">
        <v>22.8</v>
      </c>
      <c r="AQ12" s="10">
        <v>1.17</v>
      </c>
      <c r="AR12" s="10">
        <v>15.24</v>
      </c>
      <c r="AS12" s="11">
        <v>15.24</v>
      </c>
      <c r="AT12" s="23">
        <f t="shared" si="1"/>
        <v>17.085714285714289</v>
      </c>
      <c r="AU12" s="22">
        <f t="shared" si="2"/>
        <v>0.97805408230843927</v>
      </c>
      <c r="AV12" s="23">
        <f t="shared" si="3"/>
        <v>5.7243968028085901E-2</v>
      </c>
      <c r="AW12" s="22">
        <f t="shared" si="4"/>
        <v>5.4518064788653252E-2</v>
      </c>
      <c r="AX12">
        <f t="shared" si="5"/>
        <v>0.95679203704086435</v>
      </c>
      <c r="AY12">
        <f t="shared" si="6"/>
        <v>0.80959326211150062</v>
      </c>
      <c r="AZ12">
        <f t="shared" si="7"/>
        <v>1.0303914245055461</v>
      </c>
      <c r="BA12">
        <f t="shared" si="8"/>
        <v>-1.4719877492936375</v>
      </c>
      <c r="BB12">
        <f t="shared" si="9"/>
        <v>0.44159632478809124</v>
      </c>
      <c r="BC12">
        <f t="shared" si="10"/>
        <v>-1.8399846866170468</v>
      </c>
      <c r="BD12">
        <f t="shared" si="11"/>
        <v>0.51519571225277305</v>
      </c>
      <c r="BE12">
        <f t="shared" si="12"/>
        <v>-1.1039908119702282</v>
      </c>
      <c r="BF12">
        <f t="shared" si="13"/>
        <v>7.3599387464681934E-2</v>
      </c>
      <c r="BG12">
        <f t="shared" si="14"/>
        <v>-0.80959326211150051</v>
      </c>
      <c r="BH12">
        <f t="shared" si="15"/>
        <v>0.29439754985872751</v>
      </c>
      <c r="BI12">
        <f t="shared" si="16"/>
        <v>-0.58879509971745492</v>
      </c>
      <c r="BJ12">
        <f t="shared" si="17"/>
        <v>-7.3599387464681934E-2</v>
      </c>
      <c r="BK12">
        <f t="shared" si="18"/>
        <v>-7.3599387464681934E-2</v>
      </c>
      <c r="BL12">
        <f t="shared" si="19"/>
        <v>0</v>
      </c>
      <c r="BM12">
        <f t="shared" si="20"/>
        <v>-0.36799693732340927</v>
      </c>
      <c r="BN12">
        <f t="shared" si="21"/>
        <v>-7.3599387464681934E-2</v>
      </c>
      <c r="BO12">
        <f t="shared" si="22"/>
        <v>0.22079816239404562</v>
      </c>
      <c r="BP12">
        <f t="shared" si="23"/>
        <v>0.66239448718213689</v>
      </c>
      <c r="BQ12">
        <f t="shared" si="24"/>
        <v>0.95679203704086435</v>
      </c>
      <c r="BX12" s="17" t="s">
        <v>83</v>
      </c>
      <c r="BY12">
        <v>62</v>
      </c>
      <c r="BZ12">
        <v>150</v>
      </c>
      <c r="CA12">
        <f t="shared" si="0"/>
        <v>0.41333333333333333</v>
      </c>
    </row>
    <row r="13" spans="1:79" s="1" customFormat="1" ht="17.5" thickTop="1" thickBot="1" x14ac:dyDescent="0.5">
      <c r="A13" s="2">
        <v>1373.4</v>
      </c>
      <c r="B13" s="3">
        <v>4.6500000000000004</v>
      </c>
      <c r="C13" s="4">
        <v>0.86</v>
      </c>
      <c r="D13" s="5">
        <v>-0.04</v>
      </c>
      <c r="E13" s="6">
        <v>10.1</v>
      </c>
      <c r="F13" s="7">
        <v>10.1</v>
      </c>
      <c r="G13" s="8">
        <v>132</v>
      </c>
      <c r="H13" s="9">
        <v>136</v>
      </c>
      <c r="I13" s="7">
        <v>99.4</v>
      </c>
      <c r="J13" s="12">
        <f>[1]Sheet1!J14</f>
        <v>0</v>
      </c>
      <c r="K13" s="10">
        <f>[1]Sheet1!K14</f>
        <v>-0.02</v>
      </c>
      <c r="L13" s="10">
        <f>[1]Sheet1!L14</f>
        <v>0.01</v>
      </c>
      <c r="M13" s="10">
        <f>[1]Sheet1!M14</f>
        <v>-0.41</v>
      </c>
      <c r="N13" s="10">
        <f>[1]Sheet1!N14</f>
        <v>-0.04</v>
      </c>
      <c r="O13" s="10">
        <f>[1]Sheet1!O14</f>
        <v>-0.39</v>
      </c>
      <c r="P13" s="10">
        <f>[1]Sheet1!P14</f>
        <v>-0.05</v>
      </c>
      <c r="Q13" s="10">
        <f>[1]Sheet1!Q14</f>
        <v>-0.31</v>
      </c>
      <c r="R13" s="10">
        <f>[1]Sheet1!R14</f>
        <v>-0.11</v>
      </c>
      <c r="S13" s="10">
        <f>[1]Sheet1!S14</f>
        <v>-0.26</v>
      </c>
      <c r="T13" s="10">
        <f>[1]Sheet1!T14</f>
        <v>-0.09</v>
      </c>
      <c r="U13" s="10">
        <f>[1]Sheet1!U14</f>
        <v>-0.21</v>
      </c>
      <c r="V13" s="10">
        <f>[1]Sheet1!V14</f>
        <v>-0.14000000000000001</v>
      </c>
      <c r="W13" s="10">
        <f>[1]Sheet1!W14</f>
        <v>-0.14000000000000001</v>
      </c>
      <c r="X13" s="10">
        <f>[1]Sheet1!X14</f>
        <v>-0.13</v>
      </c>
      <c r="Y13" s="10">
        <f>[1]Sheet1!Y14</f>
        <v>-0.18</v>
      </c>
      <c r="Z13" s="10">
        <f>[1]Sheet1!Z14</f>
        <v>-0.14000000000000001</v>
      </c>
      <c r="AA13" s="10">
        <f>[1]Sheet1!AA14</f>
        <v>-0.1</v>
      </c>
      <c r="AB13" s="10">
        <f>[1]Sheet1!AB14</f>
        <v>-0.05</v>
      </c>
      <c r="AC13" s="10">
        <f>[1]Sheet1!AC14</f>
        <v>0</v>
      </c>
      <c r="AD13" s="10">
        <f>[1]Sheet1!AD14</f>
        <v>0.01</v>
      </c>
      <c r="AE13" s="10">
        <f>[1]Sheet1!AE14</f>
        <v>0</v>
      </c>
      <c r="AF13" s="10">
        <f>[1]Sheet1!AF14</f>
        <v>0</v>
      </c>
      <c r="AG13" s="10">
        <f>[1]Sheet1!AG14</f>
        <v>0.01</v>
      </c>
      <c r="AH13" s="10">
        <f>[1]Sheet1!AH14</f>
        <v>0</v>
      </c>
      <c r="AI13" s="10">
        <f>[1]Sheet1!AI14</f>
        <v>0</v>
      </c>
      <c r="AJ13" s="10">
        <f>[1]Sheet1!AJ14</f>
        <v>0</v>
      </c>
      <c r="AK13" s="10">
        <f>[1]Sheet1!AK14</f>
        <v>0</v>
      </c>
      <c r="AL13" s="10">
        <f>[1]Sheet1!AL14</f>
        <v>0</v>
      </c>
      <c r="AM13" s="10">
        <f>[1]Sheet1!AM14</f>
        <v>0.01</v>
      </c>
      <c r="AN13" s="10">
        <f>[1]Sheet1!AN14</f>
        <v>-0.13</v>
      </c>
      <c r="AO13" s="11">
        <f>[1]Sheet1!AO14</f>
        <v>0</v>
      </c>
      <c r="AP13" s="6">
        <v>22.8</v>
      </c>
      <c r="AQ13" s="10">
        <v>1.17</v>
      </c>
      <c r="AR13" s="10">
        <v>15.02</v>
      </c>
      <c r="AS13" s="11">
        <v>15.24</v>
      </c>
      <c r="AT13" s="23">
        <f t="shared" si="1"/>
        <v>5.4069767441860472</v>
      </c>
      <c r="AU13" s="22">
        <f t="shared" si="2"/>
        <v>0.78296925288331354</v>
      </c>
      <c r="AV13" s="23">
        <f t="shared" si="3"/>
        <v>0.14480721666229024</v>
      </c>
      <c r="AW13" s="22">
        <f t="shared" si="4"/>
        <v>-4.490146253094271E-2</v>
      </c>
      <c r="AX13">
        <f t="shared" si="5"/>
        <v>0.98502583427255563</v>
      </c>
      <c r="AY13">
        <f t="shared" si="6"/>
        <v>0.83348339823062401</v>
      </c>
      <c r="AZ13">
        <f t="shared" si="7"/>
        <v>1.0607970522935215</v>
      </c>
      <c r="BA13">
        <f t="shared" si="8"/>
        <v>-2.1215941045870426</v>
      </c>
      <c r="BB13">
        <f t="shared" si="9"/>
        <v>0.68194096218869238</v>
      </c>
      <c r="BC13">
        <f t="shared" si="10"/>
        <v>-1.9700516685451113</v>
      </c>
      <c r="BD13">
        <f t="shared" si="11"/>
        <v>0.60616974416772651</v>
      </c>
      <c r="BE13">
        <f t="shared" si="12"/>
        <v>-1.3638819243773848</v>
      </c>
      <c r="BF13">
        <f t="shared" si="13"/>
        <v>0.15154243604193166</v>
      </c>
      <c r="BG13">
        <f t="shared" si="14"/>
        <v>-0.98502583427255563</v>
      </c>
      <c r="BH13">
        <f t="shared" si="15"/>
        <v>0.30308487208386331</v>
      </c>
      <c r="BI13">
        <f t="shared" si="16"/>
        <v>-0.6061697441677264</v>
      </c>
      <c r="BJ13">
        <f t="shared" si="17"/>
        <v>-7.5771218020965883E-2</v>
      </c>
      <c r="BK13">
        <v>-0.51712179999999996</v>
      </c>
      <c r="BL13">
        <f t="shared" si="19"/>
        <v>0</v>
      </c>
      <c r="BM13">
        <f t="shared" si="20"/>
        <v>-0.37885609010482896</v>
      </c>
      <c r="BN13">
        <v>0.22731365406289747</v>
      </c>
      <c r="BO13">
        <v>-7.5771218000000001E-2</v>
      </c>
      <c r="BP13">
        <f t="shared" si="23"/>
        <v>0.60616974416772651</v>
      </c>
      <c r="BQ13">
        <v>0.625025834</v>
      </c>
      <c r="BX13" s="17" t="s">
        <v>84</v>
      </c>
      <c r="BY13">
        <v>59.44</v>
      </c>
      <c r="BZ13">
        <v>150</v>
      </c>
      <c r="CA13">
        <f t="shared" si="0"/>
        <v>0.39626666666666666</v>
      </c>
    </row>
    <row r="14" spans="1:79" s="1" customFormat="1" ht="17.5" thickTop="1" thickBot="1" x14ac:dyDescent="0.5">
      <c r="A14" s="2">
        <v>1733.4</v>
      </c>
      <c r="B14" s="3">
        <v>4.51</v>
      </c>
      <c r="C14" s="4">
        <v>1.18</v>
      </c>
      <c r="D14" s="5">
        <v>-0.08</v>
      </c>
      <c r="E14" s="6">
        <v>10.9</v>
      </c>
      <c r="F14" s="7">
        <v>10.9</v>
      </c>
      <c r="G14" s="8">
        <v>133</v>
      </c>
      <c r="H14" s="9">
        <v>134</v>
      </c>
      <c r="I14" s="7">
        <v>99.4</v>
      </c>
      <c r="J14" s="12">
        <f>[1]Sheet1!J15</f>
        <v>0</v>
      </c>
      <c r="K14" s="10">
        <f>[1]Sheet1!K15</f>
        <v>-0.02</v>
      </c>
      <c r="L14" s="10">
        <f>[1]Sheet1!L15</f>
        <v>0.01</v>
      </c>
      <c r="M14" s="10">
        <f>[1]Sheet1!M15</f>
        <v>-0.43</v>
      </c>
      <c r="N14" s="10">
        <f>[1]Sheet1!N15</f>
        <v>-0.04</v>
      </c>
      <c r="O14" s="10">
        <f>[1]Sheet1!O15</f>
        <v>-0.4</v>
      </c>
      <c r="P14" s="10">
        <f>[1]Sheet1!P15</f>
        <v>-0.05</v>
      </c>
      <c r="Q14" s="10">
        <f>[1]Sheet1!Q15</f>
        <v>-0.31</v>
      </c>
      <c r="R14" s="10">
        <f>[1]Sheet1!R15</f>
        <v>-0.11</v>
      </c>
      <c r="S14" s="10">
        <f>[1]Sheet1!S15</f>
        <v>-0.26</v>
      </c>
      <c r="T14" s="10">
        <f>[1]Sheet1!T15</f>
        <v>-0.09</v>
      </c>
      <c r="U14" s="10">
        <f>[1]Sheet1!U15</f>
        <v>-0.21</v>
      </c>
      <c r="V14" s="10">
        <f>[1]Sheet1!V15</f>
        <v>-0.14000000000000001</v>
      </c>
      <c r="W14" s="10">
        <f>[1]Sheet1!W15</f>
        <v>-0.14000000000000001</v>
      </c>
      <c r="X14" s="10">
        <f>[1]Sheet1!X15</f>
        <v>-0.13</v>
      </c>
      <c r="Y14" s="10">
        <f>[1]Sheet1!Y15</f>
        <v>-0.18</v>
      </c>
      <c r="Z14" s="10">
        <f>[1]Sheet1!Z15</f>
        <v>-0.14000000000000001</v>
      </c>
      <c r="AA14" s="10">
        <f>[1]Sheet1!AA15</f>
        <v>-0.1</v>
      </c>
      <c r="AB14" s="10">
        <f>[1]Sheet1!AB15</f>
        <v>-0.05</v>
      </c>
      <c r="AC14" s="10">
        <f>[1]Sheet1!AC15</f>
        <v>0</v>
      </c>
      <c r="AD14" s="10">
        <f>[1]Sheet1!AD15</f>
        <v>0.01</v>
      </c>
      <c r="AE14" s="10">
        <f>[1]Sheet1!AE15</f>
        <v>0</v>
      </c>
      <c r="AF14" s="10">
        <f>[1]Sheet1!AF15</f>
        <v>0</v>
      </c>
      <c r="AG14" s="10">
        <f>[1]Sheet1!AG15</f>
        <v>0.01</v>
      </c>
      <c r="AH14" s="10">
        <f>[1]Sheet1!AH15</f>
        <v>0</v>
      </c>
      <c r="AI14" s="10">
        <f>[1]Sheet1!AI15</f>
        <v>0</v>
      </c>
      <c r="AJ14" s="10">
        <f>[1]Sheet1!AJ15</f>
        <v>0</v>
      </c>
      <c r="AK14" s="10">
        <f>[1]Sheet1!AK15</f>
        <v>0</v>
      </c>
      <c r="AL14" s="10">
        <f>[1]Sheet1!AL15</f>
        <v>0</v>
      </c>
      <c r="AM14" s="10">
        <f>[1]Sheet1!AM15</f>
        <v>0.01</v>
      </c>
      <c r="AN14" s="10">
        <f>[1]Sheet1!AN15</f>
        <v>-0.13</v>
      </c>
      <c r="AO14" s="11">
        <f>[1]Sheet1!AO15</f>
        <v>0</v>
      </c>
      <c r="AP14" s="6">
        <v>22.8</v>
      </c>
      <c r="AQ14" s="10">
        <v>1.17</v>
      </c>
      <c r="AR14" s="10">
        <v>15.07</v>
      </c>
      <c r="AS14" s="11">
        <v>15.13</v>
      </c>
      <c r="AT14" s="23">
        <f t="shared" si="1"/>
        <v>3.8220338983050848</v>
      </c>
      <c r="AU14" s="22">
        <f t="shared" si="2"/>
        <v>0.75436522059499667</v>
      </c>
      <c r="AV14" s="23">
        <f t="shared" si="3"/>
        <v>0.19737271847053126</v>
      </c>
      <c r="AW14" s="22">
        <f t="shared" si="4"/>
        <v>-8.920800834826273E-2</v>
      </c>
      <c r="AX14">
        <f t="shared" si="5"/>
        <v>0.97850034157000665</v>
      </c>
      <c r="AY14">
        <f t="shared" si="6"/>
        <v>0.82796182748231339</v>
      </c>
      <c r="AZ14">
        <f t="shared" si="7"/>
        <v>1.0537695986138533</v>
      </c>
      <c r="BA14">
        <f t="shared" si="8"/>
        <v>-2.2580777113154</v>
      </c>
      <c r="BB14">
        <f t="shared" si="9"/>
        <v>0.67742331339462003</v>
      </c>
      <c r="BC14">
        <f t="shared" si="10"/>
        <v>-2.03226994018386</v>
      </c>
      <c r="BD14">
        <f t="shared" si="11"/>
        <v>0.60215405635077335</v>
      </c>
      <c r="BE14">
        <f t="shared" si="12"/>
        <v>-1.3548466267892401</v>
      </c>
      <c r="BF14">
        <f t="shared" si="13"/>
        <v>0.15053851408769336</v>
      </c>
      <c r="BG14">
        <f t="shared" si="14"/>
        <v>-0.97850034157000665</v>
      </c>
      <c r="BH14">
        <f t="shared" si="15"/>
        <v>0.30107702817538673</v>
      </c>
      <c r="BI14">
        <f t="shared" si="16"/>
        <v>-0.60215405635077324</v>
      </c>
      <c r="BJ14">
        <f t="shared" si="17"/>
        <v>-7.5269257043846738E-2</v>
      </c>
      <c r="BK14">
        <f t="shared" si="18"/>
        <v>-7.5269257043846738E-2</v>
      </c>
      <c r="BL14">
        <f t="shared" si="19"/>
        <v>0</v>
      </c>
      <c r="BM14">
        <f t="shared" si="20"/>
        <v>-0.37634628521923325</v>
      </c>
      <c r="BN14">
        <f t="shared" si="21"/>
        <v>-7.5269257043846738E-2</v>
      </c>
      <c r="BO14">
        <f t="shared" si="22"/>
        <v>0.22580777113153999</v>
      </c>
      <c r="BP14">
        <f t="shared" si="23"/>
        <v>0.60215405635077335</v>
      </c>
      <c r="BQ14">
        <f t="shared" si="24"/>
        <v>0.97850034157000665</v>
      </c>
      <c r="BX14" s="17" t="s">
        <v>85</v>
      </c>
      <c r="BY14">
        <v>80.77</v>
      </c>
      <c r="BZ14">
        <v>150</v>
      </c>
      <c r="CA14">
        <f t="shared" si="0"/>
        <v>0.53846666666666665</v>
      </c>
    </row>
    <row r="15" spans="1:79" s="1" customFormat="1" ht="17.5" thickTop="1" thickBot="1" x14ac:dyDescent="0.5">
      <c r="A15" s="2">
        <v>1935.3</v>
      </c>
      <c r="B15" s="3">
        <v>4.33</v>
      </c>
      <c r="C15" s="4">
        <v>1.3</v>
      </c>
      <c r="D15" s="5">
        <v>-0.1</v>
      </c>
      <c r="E15" s="6">
        <v>11.9</v>
      </c>
      <c r="F15" s="7">
        <v>11.9</v>
      </c>
      <c r="G15" s="8">
        <v>133</v>
      </c>
      <c r="H15" s="9">
        <v>138</v>
      </c>
      <c r="I15" s="7">
        <v>99.4</v>
      </c>
      <c r="J15" s="12">
        <f>[1]Sheet1!J16</f>
        <v>0</v>
      </c>
      <c r="K15" s="10">
        <f>[1]Sheet1!K16</f>
        <v>0.01</v>
      </c>
      <c r="L15" s="10">
        <f>[1]Sheet1!L16</f>
        <v>0.01</v>
      </c>
      <c r="M15" s="10">
        <f>[1]Sheet1!M16</f>
        <v>-0.19</v>
      </c>
      <c r="N15" s="10">
        <f>[1]Sheet1!N16</f>
        <v>-7.0000000000000007E-2</v>
      </c>
      <c r="O15" s="10">
        <f>[1]Sheet1!O16</f>
        <v>-0.23</v>
      </c>
      <c r="P15" s="10">
        <f>[1]Sheet1!P16</f>
        <v>-7.0000000000000007E-2</v>
      </c>
      <c r="Q15" s="10">
        <f>[1]Sheet1!Q16</f>
        <v>-0.24</v>
      </c>
      <c r="R15" s="10">
        <f>[1]Sheet1!R16</f>
        <v>-0.13</v>
      </c>
      <c r="S15" s="10">
        <f>[1]Sheet1!S16</f>
        <v>-0.24</v>
      </c>
      <c r="T15" s="10">
        <f>[1]Sheet1!T16</f>
        <v>-0.11</v>
      </c>
      <c r="U15" s="10">
        <f>[1]Sheet1!U16</f>
        <v>-0.22</v>
      </c>
      <c r="V15" s="10">
        <f>[1]Sheet1!V16</f>
        <v>-0.16</v>
      </c>
      <c r="W15" s="10">
        <f>[1]Sheet1!W16</f>
        <v>-0.16</v>
      </c>
      <c r="X15" s="10">
        <f>[1]Sheet1!X16</f>
        <v>-0.16</v>
      </c>
      <c r="Y15" s="10">
        <f>[1]Sheet1!Y16</f>
        <v>-0.23</v>
      </c>
      <c r="Z15" s="10">
        <f>[1]Sheet1!Z16</f>
        <v>-0.18</v>
      </c>
      <c r="AA15" s="10">
        <f>[1]Sheet1!AA16</f>
        <v>-0.14000000000000001</v>
      </c>
      <c r="AB15" s="10">
        <f>[1]Sheet1!AB16</f>
        <v>-0.06</v>
      </c>
      <c r="AC15" s="10">
        <f>[1]Sheet1!AC16</f>
        <v>0</v>
      </c>
      <c r="AD15" s="10">
        <f>[1]Sheet1!AD16</f>
        <v>0.01</v>
      </c>
      <c r="AE15" s="10">
        <f>[1]Sheet1!AE16</f>
        <v>0</v>
      </c>
      <c r="AF15" s="10">
        <f>[1]Sheet1!AF16</f>
        <v>0</v>
      </c>
      <c r="AG15" s="10">
        <f>[1]Sheet1!AG16</f>
        <v>0.01</v>
      </c>
      <c r="AH15" s="10">
        <f>[1]Sheet1!AH16</f>
        <v>0</v>
      </c>
      <c r="AI15" s="10">
        <f>[1]Sheet1!AI16</f>
        <v>0</v>
      </c>
      <c r="AJ15" s="10">
        <f>[1]Sheet1!AJ16</f>
        <v>0</v>
      </c>
      <c r="AK15" s="10">
        <f>[1]Sheet1!AK16</f>
        <v>0</v>
      </c>
      <c r="AL15" s="10">
        <f>[1]Sheet1!AL16</f>
        <v>0</v>
      </c>
      <c r="AM15" s="10">
        <f>[1]Sheet1!AM16</f>
        <v>0.01</v>
      </c>
      <c r="AN15" s="10">
        <f>[1]Sheet1!AN16</f>
        <v>-0.13</v>
      </c>
      <c r="AO15" s="11">
        <f>[1]Sheet1!AO16</f>
        <v>0</v>
      </c>
      <c r="AP15" s="6">
        <v>22.8</v>
      </c>
      <c r="AQ15" s="10">
        <v>1.17</v>
      </c>
      <c r="AR15" s="10">
        <v>15.07</v>
      </c>
      <c r="AS15" s="11">
        <v>15.35</v>
      </c>
      <c r="AT15" s="23">
        <f t="shared" si="1"/>
        <v>3.3307692307692309</v>
      </c>
      <c r="AU15" s="22">
        <f t="shared" si="2"/>
        <v>0.72425751777745795</v>
      </c>
      <c r="AV15" s="23">
        <f t="shared" si="3"/>
        <v>0.21744452034889039</v>
      </c>
      <c r="AW15" s="22">
        <f t="shared" si="4"/>
        <v>-0.11151001043532842</v>
      </c>
      <c r="AX15">
        <f t="shared" si="5"/>
        <v>0.97850034157000665</v>
      </c>
      <c r="AY15">
        <f t="shared" si="6"/>
        <v>1.0537695986138533</v>
      </c>
      <c r="AZ15">
        <f t="shared" si="7"/>
        <v>1.0537695986138533</v>
      </c>
      <c r="BA15">
        <f t="shared" si="8"/>
        <v>-0.45161554226307998</v>
      </c>
      <c r="BB15">
        <f t="shared" si="9"/>
        <v>0.45161554226307998</v>
      </c>
      <c r="BC15">
        <f t="shared" si="10"/>
        <v>-0.75269257043846671</v>
      </c>
      <c r="BD15">
        <f t="shared" si="11"/>
        <v>0.45161554226307998</v>
      </c>
      <c r="BE15">
        <f t="shared" si="12"/>
        <v>-0.82796182748231328</v>
      </c>
      <c r="BF15">
        <f t="shared" si="13"/>
        <v>0</v>
      </c>
      <c r="BG15">
        <f t="shared" si="14"/>
        <v>-0.82796182748231328</v>
      </c>
      <c r="BH15">
        <f t="shared" si="15"/>
        <v>0.15053851408769336</v>
      </c>
      <c r="BI15">
        <f t="shared" si="16"/>
        <v>-0.67742331339462003</v>
      </c>
      <c r="BJ15">
        <f t="shared" si="17"/>
        <v>-0.22580777113153999</v>
      </c>
      <c r="BK15">
        <f t="shared" si="18"/>
        <v>-0.22580777113153999</v>
      </c>
      <c r="BL15">
        <f t="shared" si="19"/>
        <v>-0.22580777113153999</v>
      </c>
      <c r="BM15">
        <f t="shared" si="20"/>
        <v>-0.75269257043846671</v>
      </c>
      <c r="BN15">
        <f t="shared" si="21"/>
        <v>-0.37634628521923325</v>
      </c>
      <c r="BO15">
        <f t="shared" si="22"/>
        <v>-7.5269257043846738E-2</v>
      </c>
      <c r="BP15">
        <f t="shared" si="23"/>
        <v>0.52688479930692667</v>
      </c>
      <c r="BQ15">
        <f t="shared" si="24"/>
        <v>0.97850034157000665</v>
      </c>
      <c r="BX15" s="17" t="s">
        <v>86</v>
      </c>
      <c r="BY15">
        <v>77.73</v>
      </c>
      <c r="BZ15">
        <v>150</v>
      </c>
      <c r="CA15">
        <f t="shared" si="0"/>
        <v>0.51819999999999999</v>
      </c>
    </row>
    <row r="16" spans="1:79" s="1" customFormat="1" ht="17.5" thickTop="1" thickBot="1" x14ac:dyDescent="0.5">
      <c r="A16" s="2">
        <v>2265.8000000000002</v>
      </c>
      <c r="B16" s="3">
        <v>4.1500000000000004</v>
      </c>
      <c r="C16" s="4">
        <v>1.52</v>
      </c>
      <c r="D16" s="5">
        <v>-0.1</v>
      </c>
      <c r="E16" s="6">
        <v>13.1</v>
      </c>
      <c r="F16" s="7">
        <v>13.1</v>
      </c>
      <c r="G16" s="8">
        <v>132</v>
      </c>
      <c r="H16" s="9">
        <v>142</v>
      </c>
      <c r="I16" s="7">
        <v>99.4</v>
      </c>
      <c r="J16" s="12">
        <f>[1]Sheet1!J17</f>
        <v>0</v>
      </c>
      <c r="K16" s="10">
        <f>[1]Sheet1!K17</f>
        <v>0.01</v>
      </c>
      <c r="L16" s="10">
        <f>[1]Sheet1!L17</f>
        <v>0.01</v>
      </c>
      <c r="M16" s="10">
        <f>[1]Sheet1!M17</f>
        <v>-0.17</v>
      </c>
      <c r="N16" s="10">
        <f>[1]Sheet1!N17</f>
        <v>-7.0000000000000007E-2</v>
      </c>
      <c r="O16" s="10">
        <f>[1]Sheet1!O17</f>
        <v>-0.22</v>
      </c>
      <c r="P16" s="10">
        <f>[1]Sheet1!P17</f>
        <v>-7.0000000000000007E-2</v>
      </c>
      <c r="Q16" s="10">
        <f>[1]Sheet1!Q17</f>
        <v>-0.23</v>
      </c>
      <c r="R16" s="10">
        <f>[1]Sheet1!R17</f>
        <v>-0.13</v>
      </c>
      <c r="S16" s="10">
        <f>[1]Sheet1!S17</f>
        <v>-0.22</v>
      </c>
      <c r="T16" s="10">
        <f>[1]Sheet1!T17</f>
        <v>-0.11</v>
      </c>
      <c r="U16" s="10">
        <f>[1]Sheet1!U17</f>
        <v>-0.21</v>
      </c>
      <c r="V16" s="10">
        <f>[1]Sheet1!V17</f>
        <v>-0.16</v>
      </c>
      <c r="W16" s="10">
        <f>[1]Sheet1!W17</f>
        <v>-0.16</v>
      </c>
      <c r="X16" s="10">
        <f>[1]Sheet1!X17</f>
        <v>-0.16</v>
      </c>
      <c r="Y16" s="10">
        <f>[1]Sheet1!Y17</f>
        <v>-0.21</v>
      </c>
      <c r="Z16" s="10">
        <f>[1]Sheet1!Z17</f>
        <v>-0.18</v>
      </c>
      <c r="AA16" s="10">
        <f>[1]Sheet1!AA17</f>
        <v>-0.14000000000000001</v>
      </c>
      <c r="AB16" s="10">
        <f>[1]Sheet1!AB17</f>
        <v>-0.06</v>
      </c>
      <c r="AC16" s="10">
        <f>[1]Sheet1!AC17</f>
        <v>0</v>
      </c>
      <c r="AD16" s="10">
        <f>[1]Sheet1!AD17</f>
        <v>0.01</v>
      </c>
      <c r="AE16" s="10">
        <f>[1]Sheet1!AE17</f>
        <v>0</v>
      </c>
      <c r="AF16" s="10">
        <f>[1]Sheet1!AF17</f>
        <v>0</v>
      </c>
      <c r="AG16" s="10">
        <f>[1]Sheet1!AG17</f>
        <v>0.01</v>
      </c>
      <c r="AH16" s="10">
        <f>[1]Sheet1!AH17</f>
        <v>0</v>
      </c>
      <c r="AI16" s="10">
        <f>[1]Sheet1!AI17</f>
        <v>0</v>
      </c>
      <c r="AJ16" s="10">
        <f>[1]Sheet1!AJ17</f>
        <v>0</v>
      </c>
      <c r="AK16" s="10">
        <f>[1]Sheet1!AK17</f>
        <v>0</v>
      </c>
      <c r="AL16" s="10">
        <f>[1]Sheet1!AL17</f>
        <v>0</v>
      </c>
      <c r="AM16" s="10">
        <f>[1]Sheet1!AM17</f>
        <v>0.01</v>
      </c>
      <c r="AN16" s="10">
        <f>[1]Sheet1!AN17</f>
        <v>-0.13</v>
      </c>
      <c r="AO16" s="11">
        <f>[1]Sheet1!AO17</f>
        <v>0</v>
      </c>
      <c r="AP16" s="6">
        <v>22.8</v>
      </c>
      <c r="AQ16" s="10">
        <v>1.17</v>
      </c>
      <c r="AR16" s="10">
        <v>15.02</v>
      </c>
      <c r="AS16" s="11">
        <v>15.57</v>
      </c>
      <c r="AT16" s="23">
        <f t="shared" si="1"/>
        <v>2.7302631578947372</v>
      </c>
      <c r="AU16" s="22">
        <f t="shared" si="2"/>
        <v>0.69877901063779602</v>
      </c>
      <c r="AV16" s="23">
        <f t="shared" si="3"/>
        <v>0.25593833642637343</v>
      </c>
      <c r="AW16" s="22">
        <f t="shared" si="4"/>
        <v>-0.11225365632735677</v>
      </c>
      <c r="AX16">
        <f t="shared" si="5"/>
        <v>0.98502583427255563</v>
      </c>
      <c r="AY16">
        <f t="shared" si="6"/>
        <v>1.0607970522935215</v>
      </c>
      <c r="AZ16">
        <f t="shared" si="7"/>
        <v>1.0607970522935215</v>
      </c>
      <c r="BA16">
        <f t="shared" si="8"/>
        <v>-0.30308487208386331</v>
      </c>
      <c r="BB16">
        <f t="shared" si="9"/>
        <v>0.45462730812579494</v>
      </c>
      <c r="BC16">
        <f t="shared" si="10"/>
        <v>-0.68194096218869238</v>
      </c>
      <c r="BD16">
        <f t="shared" si="11"/>
        <v>0.45462730812579494</v>
      </c>
      <c r="BE16">
        <f t="shared" si="12"/>
        <v>-0.75771218020965814</v>
      </c>
      <c r="BF16">
        <f t="shared" si="13"/>
        <v>0</v>
      </c>
      <c r="BG16">
        <f t="shared" si="14"/>
        <v>-0.68194096218869238</v>
      </c>
      <c r="BH16">
        <f t="shared" si="15"/>
        <v>0.15154243604193166</v>
      </c>
      <c r="BI16">
        <f t="shared" si="16"/>
        <v>-0.6061697441677264</v>
      </c>
      <c r="BJ16">
        <f t="shared" si="17"/>
        <v>-0.22731365406289747</v>
      </c>
      <c r="BK16">
        <f t="shared" si="18"/>
        <v>-0.22731365406289747</v>
      </c>
      <c r="BL16">
        <f t="shared" si="19"/>
        <v>-0.22731365406289747</v>
      </c>
      <c r="BM16">
        <f t="shared" si="20"/>
        <v>-0.6061697441677264</v>
      </c>
      <c r="BN16">
        <f t="shared" si="21"/>
        <v>-0.37885609010482896</v>
      </c>
      <c r="BO16">
        <f t="shared" si="22"/>
        <v>-7.5771218020965883E-2</v>
      </c>
      <c r="BP16">
        <f t="shared" si="23"/>
        <v>0.53039852614676075</v>
      </c>
      <c r="BQ16">
        <f t="shared" si="24"/>
        <v>0.98502583427255563</v>
      </c>
      <c r="BX16" s="17" t="s">
        <v>87</v>
      </c>
      <c r="BY16">
        <v>101.35</v>
      </c>
      <c r="BZ16">
        <v>150</v>
      </c>
      <c r="CA16">
        <f t="shared" si="0"/>
        <v>0.67566666666666664</v>
      </c>
    </row>
    <row r="17" spans="1:79" ht="17.5" thickTop="1" thickBot="1" x14ac:dyDescent="0.5">
      <c r="A17" s="2">
        <v>2497.4</v>
      </c>
      <c r="B17" s="3">
        <v>4.12</v>
      </c>
      <c r="C17" s="4">
        <v>1.63</v>
      </c>
      <c r="D17" s="5">
        <v>-0.1</v>
      </c>
      <c r="E17" s="6">
        <v>13.9</v>
      </c>
      <c r="F17" s="7">
        <v>13.9</v>
      </c>
      <c r="G17" s="8">
        <v>134</v>
      </c>
      <c r="H17" s="9">
        <v>140</v>
      </c>
      <c r="I17" s="7">
        <v>99.4</v>
      </c>
      <c r="J17" s="12">
        <f>[1]Sheet1!J18</f>
        <v>0</v>
      </c>
      <c r="K17" s="10">
        <f>[1]Sheet1!K18</f>
        <v>0.01</v>
      </c>
      <c r="L17" s="10">
        <f>[1]Sheet1!L18</f>
        <v>0.02</v>
      </c>
      <c r="M17" s="10">
        <f>[1]Sheet1!M18</f>
        <v>-0.17</v>
      </c>
      <c r="N17" s="10">
        <f>[1]Sheet1!N18</f>
        <v>-7.0000000000000007E-2</v>
      </c>
      <c r="O17" s="10">
        <f>[1]Sheet1!O18</f>
        <v>-0.22</v>
      </c>
      <c r="P17" s="10">
        <f>[1]Sheet1!P18</f>
        <v>-0.06</v>
      </c>
      <c r="Q17" s="10">
        <f>[1]Sheet1!Q18</f>
        <v>-0.23</v>
      </c>
      <c r="R17" s="10">
        <f>[1]Sheet1!R18</f>
        <v>-0.13</v>
      </c>
      <c r="S17" s="10">
        <f>[1]Sheet1!S18</f>
        <v>-0.22</v>
      </c>
      <c r="T17" s="10">
        <f>[1]Sheet1!T18</f>
        <v>-0.11</v>
      </c>
      <c r="U17" s="10">
        <f>[1]Sheet1!U18</f>
        <v>-0.21</v>
      </c>
      <c r="V17" s="10">
        <f>[1]Sheet1!V18</f>
        <v>-0.16</v>
      </c>
      <c r="W17" s="10">
        <f>[1]Sheet1!W18</f>
        <v>-0.14000000000000001</v>
      </c>
      <c r="X17" s="10">
        <f>[1]Sheet1!X18</f>
        <v>-0.16</v>
      </c>
      <c r="Y17" s="10">
        <f>[1]Sheet1!Y18</f>
        <v>-0.21</v>
      </c>
      <c r="Z17" s="10">
        <f>[1]Sheet1!Z18</f>
        <v>-0.18</v>
      </c>
      <c r="AA17" s="10">
        <f>[1]Sheet1!AA18</f>
        <v>-0.14000000000000001</v>
      </c>
      <c r="AB17" s="10">
        <f>[1]Sheet1!AB18</f>
        <v>-0.06</v>
      </c>
      <c r="AC17" s="10">
        <f>[1]Sheet1!AC18</f>
        <v>0</v>
      </c>
      <c r="AD17" s="10">
        <f>[1]Sheet1!AD18</f>
        <v>0.01</v>
      </c>
      <c r="AE17" s="10">
        <f>[1]Sheet1!AE18</f>
        <v>0</v>
      </c>
      <c r="AF17" s="10">
        <f>[1]Sheet1!AF18</f>
        <v>0</v>
      </c>
      <c r="AG17" s="10">
        <f>[1]Sheet1!AG18</f>
        <v>0.01</v>
      </c>
      <c r="AH17" s="10">
        <f>[1]Sheet1!AH18</f>
        <v>0</v>
      </c>
      <c r="AI17" s="10">
        <f>[1]Sheet1!AI18</f>
        <v>0.01</v>
      </c>
      <c r="AJ17" s="10">
        <f>[1]Sheet1!AJ18</f>
        <v>0</v>
      </c>
      <c r="AK17" s="10">
        <f>[1]Sheet1!AK18</f>
        <v>0</v>
      </c>
      <c r="AL17" s="10">
        <f>[1]Sheet1!AL18</f>
        <v>0</v>
      </c>
      <c r="AM17" s="10">
        <f>[1]Sheet1!AM18</f>
        <v>0.01</v>
      </c>
      <c r="AN17" s="10">
        <f>[1]Sheet1!AN18</f>
        <v>-0.13</v>
      </c>
      <c r="AO17" s="11">
        <f>[1]Sheet1!AO18</f>
        <v>0</v>
      </c>
      <c r="AP17" s="6">
        <v>22.8</v>
      </c>
      <c r="AQ17" s="10">
        <v>1.17</v>
      </c>
      <c r="AR17" s="10">
        <v>15.13</v>
      </c>
      <c r="AS17" s="11">
        <v>15.46</v>
      </c>
      <c r="AT17" s="23">
        <f t="shared" si="1"/>
        <v>2.5276073619631902</v>
      </c>
      <c r="AU17" s="22">
        <f t="shared" si="2"/>
        <v>0.68367701629669908</v>
      </c>
      <c r="AV17" s="23">
        <f t="shared" si="3"/>
        <v>0.27048386809796587</v>
      </c>
      <c r="AW17" s="22">
        <f t="shared" si="4"/>
        <v>-0.11062734891532348</v>
      </c>
      <c r="AX17">
        <f t="shared" si="5"/>
        <v>0.97075498673196337</v>
      </c>
      <c r="AY17">
        <f t="shared" si="6"/>
        <v>1.0454284472498068</v>
      </c>
      <c r="AZ17">
        <f t="shared" si="7"/>
        <v>1.1201019077676502</v>
      </c>
      <c r="BA17">
        <f t="shared" si="8"/>
        <v>-0.29869384207137339</v>
      </c>
      <c r="BB17">
        <f t="shared" si="9"/>
        <v>0.44804076310706004</v>
      </c>
      <c r="BC17">
        <f t="shared" si="10"/>
        <v>-0.67206114466059008</v>
      </c>
      <c r="BD17">
        <f t="shared" si="11"/>
        <v>0.52271422362490338</v>
      </c>
      <c r="BE17">
        <f t="shared" si="12"/>
        <v>-0.74673460517843337</v>
      </c>
      <c r="BF17">
        <f t="shared" si="13"/>
        <v>0</v>
      </c>
      <c r="BG17">
        <f t="shared" si="14"/>
        <v>-0.67206114466059008</v>
      </c>
      <c r="BH17">
        <f t="shared" si="15"/>
        <v>0.1493469210356867</v>
      </c>
      <c r="BI17">
        <f t="shared" si="16"/>
        <v>-0.59738768414274657</v>
      </c>
      <c r="BJ17">
        <f t="shared" si="17"/>
        <v>-0.22402038155353002</v>
      </c>
      <c r="BK17">
        <f t="shared" si="18"/>
        <v>-7.4673460517843404E-2</v>
      </c>
      <c r="BL17">
        <f t="shared" si="19"/>
        <v>-0.22402038155353002</v>
      </c>
      <c r="BM17">
        <f t="shared" si="20"/>
        <v>-0.59738768414274657</v>
      </c>
      <c r="BN17">
        <f t="shared" si="21"/>
        <v>-0.37336730258921658</v>
      </c>
      <c r="BO17">
        <f t="shared" si="22"/>
        <v>-7.4673460517843404E-2</v>
      </c>
      <c r="BP17">
        <f t="shared" si="23"/>
        <v>0.52271422362490338</v>
      </c>
      <c r="BQ17">
        <f t="shared" si="24"/>
        <v>0.97075498673196337</v>
      </c>
      <c r="BX17" s="17" t="s">
        <v>88</v>
      </c>
      <c r="BY17">
        <v>96.02</v>
      </c>
      <c r="BZ17">
        <v>150</v>
      </c>
      <c r="CA17">
        <f t="shared" si="0"/>
        <v>0.64013333333333333</v>
      </c>
    </row>
    <row r="18" spans="1:79" ht="17.5" thickTop="1" thickBot="1" x14ac:dyDescent="0.5">
      <c r="A18" s="2">
        <v>2730.5</v>
      </c>
      <c r="B18" s="3">
        <v>4.07</v>
      </c>
      <c r="C18" s="4">
        <v>1.75</v>
      </c>
      <c r="D18" s="5">
        <v>-0.1</v>
      </c>
      <c r="E18" s="6">
        <v>15.1</v>
      </c>
      <c r="F18" s="7">
        <v>15.1</v>
      </c>
      <c r="G18" s="8">
        <v>134</v>
      </c>
      <c r="H18" s="9">
        <v>146</v>
      </c>
      <c r="I18" s="7">
        <v>99.4</v>
      </c>
      <c r="J18" s="12">
        <f>[1]Sheet1!J19</f>
        <v>0</v>
      </c>
      <c r="K18" s="10">
        <f>[1]Sheet1!K19</f>
        <v>0.01</v>
      </c>
      <c r="L18" s="10">
        <f>[1]Sheet1!L19</f>
        <v>0.01</v>
      </c>
      <c r="M18" s="10">
        <f>[1]Sheet1!M19</f>
        <v>-0.17</v>
      </c>
      <c r="N18" s="10">
        <f>[1]Sheet1!N19</f>
        <v>-0.05</v>
      </c>
      <c r="O18" s="10">
        <f>[1]Sheet1!O19</f>
        <v>-0.22</v>
      </c>
      <c r="P18" s="10">
        <f>[1]Sheet1!P19</f>
        <v>-0.06</v>
      </c>
      <c r="Q18" s="10">
        <f>[1]Sheet1!Q19</f>
        <v>-0.23</v>
      </c>
      <c r="R18" s="10">
        <f>[1]Sheet1!R19</f>
        <v>-0.13</v>
      </c>
      <c r="S18" s="10">
        <f>[1]Sheet1!S19</f>
        <v>-0.22</v>
      </c>
      <c r="T18" s="10">
        <f>[1]Sheet1!T19</f>
        <v>-0.1</v>
      </c>
      <c r="U18" s="10">
        <f>[1]Sheet1!U19</f>
        <v>-0.21</v>
      </c>
      <c r="V18" s="10">
        <f>[1]Sheet1!V19</f>
        <v>-0.16</v>
      </c>
      <c r="W18" s="10">
        <f>[1]Sheet1!W19</f>
        <v>-0.14000000000000001</v>
      </c>
      <c r="X18" s="10">
        <f>[1]Sheet1!X19</f>
        <v>-0.16</v>
      </c>
      <c r="Y18" s="10">
        <f>[1]Sheet1!Y19</f>
        <v>-0.21</v>
      </c>
      <c r="Z18" s="10">
        <f>[1]Sheet1!Z19</f>
        <v>-0.18</v>
      </c>
      <c r="AA18" s="10">
        <f>[1]Sheet1!AA19</f>
        <v>-0.14000000000000001</v>
      </c>
      <c r="AB18" s="10">
        <f>[1]Sheet1!AB19</f>
        <v>-0.06</v>
      </c>
      <c r="AC18" s="10">
        <f>[1]Sheet1!AC19</f>
        <v>0</v>
      </c>
      <c r="AD18" s="10">
        <f>[1]Sheet1!AD19</f>
        <v>0.01</v>
      </c>
      <c r="AE18" s="10">
        <f>[1]Sheet1!AE19</f>
        <v>0.01</v>
      </c>
      <c r="AF18" s="10">
        <f>[1]Sheet1!AF19</f>
        <v>0</v>
      </c>
      <c r="AG18" s="10">
        <f>[1]Sheet1!AG19</f>
        <v>0.01</v>
      </c>
      <c r="AH18" s="10">
        <f>[1]Sheet1!AH19</f>
        <v>0</v>
      </c>
      <c r="AI18" s="10">
        <f>[1]Sheet1!AI19</f>
        <v>0</v>
      </c>
      <c r="AJ18" s="10">
        <f>[1]Sheet1!AJ19</f>
        <v>0</v>
      </c>
      <c r="AK18" s="10">
        <f>[1]Sheet1!AK19</f>
        <v>0</v>
      </c>
      <c r="AL18" s="10">
        <f>[1]Sheet1!AL19</f>
        <v>0</v>
      </c>
      <c r="AM18" s="10">
        <f>[1]Sheet1!AM19</f>
        <v>0.01</v>
      </c>
      <c r="AN18" s="10">
        <f>[1]Sheet1!AN19</f>
        <v>-0.13</v>
      </c>
      <c r="AO18" s="11">
        <f>[1]Sheet1!AO19</f>
        <v>0</v>
      </c>
      <c r="AP18" s="6">
        <v>22.8</v>
      </c>
      <c r="AQ18" s="10">
        <v>1.17</v>
      </c>
      <c r="AR18" s="10">
        <v>15.13</v>
      </c>
      <c r="AS18" s="11">
        <v>15.79</v>
      </c>
      <c r="AT18" s="23">
        <f t="shared" si="1"/>
        <v>2.3257142857142861</v>
      </c>
      <c r="AU18" s="22">
        <f t="shared" si="2"/>
        <v>0.67537996512804988</v>
      </c>
      <c r="AV18" s="23">
        <f t="shared" si="3"/>
        <v>0.29039679090272408</v>
      </c>
      <c r="AW18" s="22">
        <f t="shared" si="4"/>
        <v>-0.11062734891532348</v>
      </c>
      <c r="AX18">
        <f t="shared" si="5"/>
        <v>0.97075498673196337</v>
      </c>
      <c r="AY18">
        <f t="shared" si="6"/>
        <v>1.0454284472498068</v>
      </c>
      <c r="AZ18">
        <f t="shared" si="7"/>
        <v>1.0454284472498068</v>
      </c>
      <c r="BA18">
        <f t="shared" si="8"/>
        <v>-0.29869384207137339</v>
      </c>
      <c r="BB18">
        <f t="shared" si="9"/>
        <v>0.59738768414274668</v>
      </c>
      <c r="BC18">
        <f t="shared" si="10"/>
        <v>-0.67206114466059008</v>
      </c>
      <c r="BD18">
        <f t="shared" si="11"/>
        <v>0.52271422362490338</v>
      </c>
      <c r="BE18">
        <f t="shared" si="12"/>
        <v>-0.74673460517843337</v>
      </c>
      <c r="BF18">
        <f t="shared" si="13"/>
        <v>0</v>
      </c>
      <c r="BG18">
        <f t="shared" si="14"/>
        <v>-0.67206114466059008</v>
      </c>
      <c r="BH18">
        <f t="shared" si="15"/>
        <v>0.22402038155353002</v>
      </c>
      <c r="BI18">
        <f t="shared" si="16"/>
        <v>-0.59738768414274657</v>
      </c>
      <c r="BJ18">
        <f t="shared" si="17"/>
        <v>-0.22402038155353002</v>
      </c>
      <c r="BK18">
        <f t="shared" si="18"/>
        <v>-7.4673460517843404E-2</v>
      </c>
      <c r="BL18">
        <f t="shared" si="19"/>
        <v>-0.22402038155353002</v>
      </c>
      <c r="BM18">
        <f t="shared" si="20"/>
        <v>-0.59738768414274657</v>
      </c>
      <c r="BN18">
        <f t="shared" si="21"/>
        <v>-0.37336730258921658</v>
      </c>
      <c r="BO18">
        <f t="shared" si="22"/>
        <v>-7.4673460517843404E-2</v>
      </c>
      <c r="BP18">
        <f t="shared" si="23"/>
        <v>0.52271422362490338</v>
      </c>
      <c r="BQ18">
        <f t="shared" si="24"/>
        <v>0.97075498673196337</v>
      </c>
      <c r="BX18" s="17" t="s">
        <v>89</v>
      </c>
      <c r="BY18">
        <v>121.92</v>
      </c>
      <c r="BZ18">
        <v>150</v>
      </c>
      <c r="CA18">
        <f t="shared" si="0"/>
        <v>0.81279999999999997</v>
      </c>
    </row>
    <row r="19" spans="1:79" ht="17.5" thickTop="1" thickBot="1" x14ac:dyDescent="0.5">
      <c r="A19" s="2">
        <v>2939.9</v>
      </c>
      <c r="B19" s="3">
        <v>3.85</v>
      </c>
      <c r="C19" s="4">
        <v>1.95</v>
      </c>
      <c r="D19" s="5">
        <v>-0.1</v>
      </c>
      <c r="E19" s="6">
        <v>16</v>
      </c>
      <c r="F19" s="7">
        <v>16</v>
      </c>
      <c r="G19" s="8">
        <v>131</v>
      </c>
      <c r="H19" s="9">
        <v>144</v>
      </c>
      <c r="I19" s="7">
        <v>99.4</v>
      </c>
      <c r="J19" s="12">
        <f>[1]Sheet1!J20</f>
        <v>0</v>
      </c>
      <c r="K19" s="10">
        <f>[1]Sheet1!K20</f>
        <v>0.01</v>
      </c>
      <c r="L19" s="10">
        <f>[1]Sheet1!L20</f>
        <v>0.01</v>
      </c>
      <c r="M19" s="10">
        <f>[1]Sheet1!M20</f>
        <v>-0.17</v>
      </c>
      <c r="N19" s="10">
        <f>[1]Sheet1!N20</f>
        <v>-0.05</v>
      </c>
      <c r="O19" s="10">
        <f>[1]Sheet1!O20</f>
        <v>-0.22</v>
      </c>
      <c r="P19" s="10">
        <f>[1]Sheet1!P20</f>
        <v>-0.06</v>
      </c>
      <c r="Q19" s="10">
        <f>[1]Sheet1!Q20</f>
        <v>-0.23</v>
      </c>
      <c r="R19" s="10">
        <f>[1]Sheet1!R20</f>
        <v>-0.12</v>
      </c>
      <c r="S19" s="10">
        <f>[1]Sheet1!S20</f>
        <v>-0.22</v>
      </c>
      <c r="T19" s="10">
        <f>[1]Sheet1!T20</f>
        <v>-0.1</v>
      </c>
      <c r="U19" s="10">
        <f>[1]Sheet1!U20</f>
        <v>-0.21</v>
      </c>
      <c r="V19" s="10">
        <f>[1]Sheet1!V20</f>
        <v>-0.16</v>
      </c>
      <c r="W19" s="10">
        <f>[1]Sheet1!W20</f>
        <v>-0.14000000000000001</v>
      </c>
      <c r="X19" s="10">
        <f>[1]Sheet1!X20</f>
        <v>-0.16</v>
      </c>
      <c r="Y19" s="10">
        <f>[1]Sheet1!Y20</f>
        <v>-0.21</v>
      </c>
      <c r="Z19" s="10">
        <f>[1]Sheet1!Z20</f>
        <v>-0.18</v>
      </c>
      <c r="AA19" s="10">
        <f>[1]Sheet1!AA20</f>
        <v>-0.13</v>
      </c>
      <c r="AB19" s="10">
        <f>[1]Sheet1!AB20</f>
        <v>-0.06</v>
      </c>
      <c r="AC19" s="10">
        <f>[1]Sheet1!AC20</f>
        <v>0</v>
      </c>
      <c r="AD19" s="10">
        <f>[1]Sheet1!AD20</f>
        <v>0.02</v>
      </c>
      <c r="AE19" s="10">
        <f>[1]Sheet1!AE20</f>
        <v>0.01</v>
      </c>
      <c r="AF19" s="10">
        <f>[1]Sheet1!AF20</f>
        <v>0</v>
      </c>
      <c r="AG19" s="10">
        <f>[1]Sheet1!AG20</f>
        <v>0.01</v>
      </c>
      <c r="AH19" s="10">
        <f>[1]Sheet1!AH20</f>
        <v>0</v>
      </c>
      <c r="AI19" s="10">
        <f>[1]Sheet1!AI20</f>
        <v>0</v>
      </c>
      <c r="AJ19" s="10">
        <f>[1]Sheet1!AJ20</f>
        <v>0</v>
      </c>
      <c r="AK19" s="10">
        <f>[1]Sheet1!AK20</f>
        <v>0</v>
      </c>
      <c r="AL19" s="10">
        <f>[1]Sheet1!AL20</f>
        <v>0</v>
      </c>
      <c r="AM19" s="10">
        <f>[1]Sheet1!AM20</f>
        <v>0.01</v>
      </c>
      <c r="AN19" s="10">
        <f>[1]Sheet1!AN20</f>
        <v>-0.13</v>
      </c>
      <c r="AO19" s="11">
        <f>[1]Sheet1!AO20</f>
        <v>0</v>
      </c>
      <c r="AP19" s="6">
        <v>22.8</v>
      </c>
      <c r="AQ19" s="10">
        <v>1.17</v>
      </c>
      <c r="AR19" s="10">
        <v>14.96</v>
      </c>
      <c r="AS19" s="11">
        <v>15.68</v>
      </c>
      <c r="AT19" s="23">
        <f t="shared" si="1"/>
        <v>1.9743589743589745</v>
      </c>
      <c r="AU19" s="22">
        <f t="shared" si="2"/>
        <v>0.65347527861945398</v>
      </c>
      <c r="AV19" s="23">
        <f t="shared" si="3"/>
        <v>0.33098098527478836</v>
      </c>
      <c r="AW19" s="22">
        <f t="shared" si="4"/>
        <v>-0.11315589240163705</v>
      </c>
      <c r="AX19">
        <f t="shared" si="5"/>
        <v>0.99294295582436487</v>
      </c>
      <c r="AY19">
        <f t="shared" si="6"/>
        <v>1.0693231831954699</v>
      </c>
      <c r="AZ19">
        <f t="shared" si="7"/>
        <v>1.0693231831954699</v>
      </c>
      <c r="BA19">
        <f t="shared" si="8"/>
        <v>-0.30552090948442001</v>
      </c>
      <c r="BB19">
        <f t="shared" si="9"/>
        <v>0.61104181896883991</v>
      </c>
      <c r="BC19">
        <f t="shared" si="10"/>
        <v>-0.68742204633994486</v>
      </c>
      <c r="BD19">
        <f t="shared" si="11"/>
        <v>0.53466159159773496</v>
      </c>
      <c r="BE19">
        <f t="shared" si="12"/>
        <v>-0.76380227371104992</v>
      </c>
      <c r="BF19">
        <f t="shared" si="13"/>
        <v>7.6380227371105058E-2</v>
      </c>
      <c r="BG19">
        <f t="shared" si="14"/>
        <v>-0.68742204633994486</v>
      </c>
      <c r="BH19">
        <v>-3.9140682000000003E-2</v>
      </c>
      <c r="BI19">
        <f t="shared" si="16"/>
        <v>-0.6110418189688398</v>
      </c>
      <c r="BJ19">
        <f t="shared" si="17"/>
        <v>-0.22914068211331498</v>
      </c>
      <c r="BK19">
        <v>-0.546380227</v>
      </c>
      <c r="BL19">
        <f t="shared" si="19"/>
        <v>-0.22914068211331498</v>
      </c>
      <c r="BM19">
        <v>-0.51104181900000001</v>
      </c>
      <c r="BN19">
        <v>0</v>
      </c>
      <c r="BO19">
        <v>-0.381901137</v>
      </c>
      <c r="BP19">
        <f t="shared" si="23"/>
        <v>0.53466159159773496</v>
      </c>
      <c r="BQ19">
        <v>0.252942956</v>
      </c>
      <c r="BX19" s="17" t="s">
        <v>90</v>
      </c>
      <c r="BY19">
        <v>114.3</v>
      </c>
      <c r="BZ19">
        <v>150</v>
      </c>
      <c r="CA19">
        <f t="shared" si="0"/>
        <v>0.76200000000000001</v>
      </c>
    </row>
    <row r="20" spans="1:79" thickTop="1" thickBot="1" x14ac:dyDescent="0.4">
      <c r="A20" s="25" t="s">
        <v>103</v>
      </c>
      <c r="B20" s="25">
        <f>(RESULTS!B23*15*RESULTS!B22)/RESULTS!B24</f>
        <v>145441.98895027619</v>
      </c>
      <c r="AU20"/>
      <c r="AV20"/>
      <c r="AW20"/>
      <c r="BX20" s="17" t="s">
        <v>91</v>
      </c>
      <c r="BY20">
        <v>137.16</v>
      </c>
      <c r="BZ20">
        <v>150</v>
      </c>
      <c r="CA20">
        <f t="shared" si="0"/>
        <v>0.91439999999999999</v>
      </c>
    </row>
    <row r="21" spans="1:79" thickTop="1" thickBot="1" x14ac:dyDescent="0.4">
      <c r="A21" s="24"/>
      <c r="B21" s="24"/>
      <c r="AU21"/>
      <c r="AV21"/>
      <c r="AW21"/>
      <c r="BX21" s="17" t="s">
        <v>92</v>
      </c>
      <c r="BY21">
        <v>129.54</v>
      </c>
      <c r="BZ21">
        <v>150</v>
      </c>
      <c r="CA21">
        <f>BY21/BZ21</f>
        <v>0.86359999999999992</v>
      </c>
    </row>
    <row r="22" spans="1:79" ht="15" thickTop="1" x14ac:dyDescent="0.35">
      <c r="A22" t="s">
        <v>100</v>
      </c>
      <c r="B22">
        <v>0.15</v>
      </c>
      <c r="AU22"/>
      <c r="AV22"/>
      <c r="AW22"/>
    </row>
    <row r="23" spans="1:79" ht="14.5" x14ac:dyDescent="0.35">
      <c r="A23" t="s">
        <v>101</v>
      </c>
      <c r="B23">
        <v>1.17</v>
      </c>
      <c r="AU23"/>
      <c r="AV23"/>
      <c r="AW23"/>
    </row>
    <row r="24" spans="1:79" ht="14.5" x14ac:dyDescent="0.35">
      <c r="A24" t="s">
        <v>102</v>
      </c>
      <c r="B24">
        <f>1.81*10^-5</f>
        <v>1.8100000000000003E-5</v>
      </c>
      <c r="AU24"/>
      <c r="AV24"/>
      <c r="AW24"/>
    </row>
    <row r="25" spans="1:79" ht="14.5" x14ac:dyDescent="0.35">
      <c r="AU25"/>
      <c r="AV25"/>
      <c r="AW25"/>
    </row>
    <row r="26" spans="1:79" ht="14.5" x14ac:dyDescent="0.35">
      <c r="AU26"/>
      <c r="AV26"/>
      <c r="AW26"/>
    </row>
    <row r="27" spans="1:79" ht="20" thickBot="1" x14ac:dyDescent="0.5">
      <c r="A27" s="14" t="s">
        <v>62</v>
      </c>
      <c r="AT27" s="26" t="s">
        <v>98</v>
      </c>
      <c r="AU27" s="27" t="s">
        <v>69</v>
      </c>
      <c r="AV27" s="28" t="s">
        <v>70</v>
      </c>
      <c r="AW27" s="27" t="s">
        <v>71</v>
      </c>
    </row>
    <row r="28" spans="1:79" s="1" customFormat="1" ht="17.5" thickTop="1" thickBot="1" x14ac:dyDescent="0.5">
      <c r="A28" s="2">
        <v>23.1</v>
      </c>
      <c r="B28" s="3">
        <v>-6.38</v>
      </c>
      <c r="C28" s="4">
        <v>0.28999999999999998</v>
      </c>
      <c r="D28" s="5">
        <v>2.5000000000000001E-2</v>
      </c>
      <c r="E28" s="6">
        <v>355.8</v>
      </c>
      <c r="F28" s="7">
        <v>-4.2</v>
      </c>
      <c r="G28" s="8">
        <v>236</v>
      </c>
      <c r="H28" s="9">
        <v>236</v>
      </c>
      <c r="I28" s="7">
        <v>99.4</v>
      </c>
      <c r="J28" s="12">
        <v>0</v>
      </c>
      <c r="K28" s="10">
        <v>0.02</v>
      </c>
      <c r="L28" s="10">
        <v>-0.03</v>
      </c>
      <c r="M28" s="10">
        <v>-0.11</v>
      </c>
      <c r="N28" s="10">
        <v>-0.48</v>
      </c>
      <c r="O28" s="10">
        <v>-0.21</v>
      </c>
      <c r="P28" s="10">
        <v>-0.34</v>
      </c>
      <c r="Q28" s="10">
        <v>-0.24</v>
      </c>
      <c r="R28" s="10">
        <v>-0.41</v>
      </c>
      <c r="S28" s="10">
        <v>-0.25</v>
      </c>
      <c r="T28" s="10">
        <v>-0.26</v>
      </c>
      <c r="U28" s="10">
        <v>-0.24</v>
      </c>
      <c r="V28" s="10">
        <v>-0.32</v>
      </c>
      <c r="W28" s="10">
        <v>-0.22</v>
      </c>
      <c r="X28" s="10">
        <v>-0.28999999999999998</v>
      </c>
      <c r="Y28" s="10">
        <v>-0.24</v>
      </c>
      <c r="Z28" s="10">
        <v>-0.27</v>
      </c>
      <c r="AA28" s="10">
        <v>-0.14000000000000001</v>
      </c>
      <c r="AB28" s="10">
        <v>-0.08</v>
      </c>
      <c r="AC28" s="10">
        <v>0.01</v>
      </c>
      <c r="AD28" s="10">
        <v>0.02</v>
      </c>
      <c r="AE28" s="10">
        <v>0.01</v>
      </c>
      <c r="AF28" s="10">
        <v>0</v>
      </c>
      <c r="AG28" s="10">
        <v>0.01</v>
      </c>
      <c r="AH28" s="10">
        <v>0.01</v>
      </c>
      <c r="AI28" s="10">
        <v>0.02</v>
      </c>
      <c r="AJ28" s="10">
        <v>0</v>
      </c>
      <c r="AK28" s="10">
        <v>0.01</v>
      </c>
      <c r="AL28" s="10">
        <v>0.01</v>
      </c>
      <c r="AM28" s="10">
        <v>0.01</v>
      </c>
      <c r="AN28" s="10">
        <v>-0.22</v>
      </c>
      <c r="AO28" s="11">
        <v>0</v>
      </c>
      <c r="AP28" s="6">
        <v>22.8</v>
      </c>
      <c r="AQ28" s="10">
        <v>1.17</v>
      </c>
      <c r="AR28" s="10">
        <v>20.079999999999998</v>
      </c>
      <c r="AS28" s="11">
        <v>20.079999999999998</v>
      </c>
      <c r="AT28" s="23">
        <f t="shared" si="1"/>
        <v>-22</v>
      </c>
      <c r="AU28" s="22">
        <f>B28/(0.5*AQ28*(AR28^2)*0.15*0.3)</f>
        <v>-0.60106976399310408</v>
      </c>
      <c r="AV28" s="23">
        <f>C28/(0.5*AQ28*(AR28^2)*0.15*0.3)</f>
        <v>2.7321352908777456E-2</v>
      </c>
      <c r="AW28" s="22">
        <f>D28/(0.5*AQ28*(AR28^2)*0.15*0.3*0.15)</f>
        <v>1.5701926959067504E-2</v>
      </c>
      <c r="AX28">
        <f t="shared" si="5"/>
        <v>0.93269446136860967</v>
      </c>
      <c r="AY28">
        <f t="shared" si="6"/>
        <v>1.0174848669475742</v>
      </c>
      <c r="AZ28">
        <f t="shared" si="7"/>
        <v>0.80550885300016284</v>
      </c>
      <c r="BA28">
        <f t="shared" si="8"/>
        <v>0.46634723068430484</v>
      </c>
      <c r="BB28">
        <f t="shared" si="9"/>
        <v>-1.1022752725265386</v>
      </c>
      <c r="BC28">
        <f t="shared" si="10"/>
        <v>4.2395202789482292E-2</v>
      </c>
      <c r="BD28">
        <f t="shared" si="11"/>
        <v>-0.50874243347378723</v>
      </c>
      <c r="BE28">
        <f t="shared" si="12"/>
        <v>-8.4790405578964473E-2</v>
      </c>
      <c r="BF28">
        <f t="shared" si="13"/>
        <v>-0.80550885300016273</v>
      </c>
      <c r="BG28">
        <f t="shared" si="14"/>
        <v>-0.12718560836844678</v>
      </c>
      <c r="BH28">
        <f t="shared" si="15"/>
        <v>-0.16958081115792906</v>
      </c>
      <c r="BI28">
        <f t="shared" si="16"/>
        <v>-8.4790405578964473E-2</v>
      </c>
      <c r="BJ28">
        <f t="shared" si="17"/>
        <v>-0.42395202789482256</v>
      </c>
      <c r="BK28">
        <f t="shared" si="18"/>
        <v>0</v>
      </c>
      <c r="BL28">
        <f t="shared" si="19"/>
        <v>-0.29676641952637572</v>
      </c>
      <c r="BM28">
        <f t="shared" si="20"/>
        <v>-8.4790405578964473E-2</v>
      </c>
      <c r="BN28">
        <f t="shared" si="21"/>
        <v>-0.21197601394741133</v>
      </c>
      <c r="BO28">
        <f t="shared" si="22"/>
        <v>0.339161622315858</v>
      </c>
      <c r="BP28">
        <f t="shared" si="23"/>
        <v>0.59353283905275156</v>
      </c>
      <c r="BQ28">
        <f t="shared" si="24"/>
        <v>0.97508966415809184</v>
      </c>
      <c r="BX28" s="20" t="s">
        <v>97</v>
      </c>
      <c r="BY28" s="17" t="s">
        <v>95</v>
      </c>
      <c r="BZ28" s="20" t="s">
        <v>96</v>
      </c>
      <c r="CA28" s="17" t="s">
        <v>95</v>
      </c>
    </row>
    <row r="29" spans="1:79" s="1" customFormat="1" ht="17.5" thickTop="1" thickBot="1" x14ac:dyDescent="0.5">
      <c r="A29" s="2">
        <v>226.1</v>
      </c>
      <c r="B29" s="3">
        <v>-2.48</v>
      </c>
      <c r="C29" s="4">
        <v>0.2</v>
      </c>
      <c r="D29" s="5">
        <v>0.02</v>
      </c>
      <c r="E29" s="6">
        <v>358.1</v>
      </c>
      <c r="F29" s="7">
        <v>-1.9</v>
      </c>
      <c r="G29" s="8">
        <v>240</v>
      </c>
      <c r="H29" s="9">
        <v>242</v>
      </c>
      <c r="I29" s="7">
        <v>99.4</v>
      </c>
      <c r="J29" s="12">
        <v>0.01</v>
      </c>
      <c r="K29" s="10">
        <v>0.02</v>
      </c>
      <c r="L29" s="10">
        <v>-0.02</v>
      </c>
      <c r="M29" s="10">
        <v>-0.17</v>
      </c>
      <c r="N29" s="10">
        <v>-0.4</v>
      </c>
      <c r="O29" s="10">
        <v>-0.26</v>
      </c>
      <c r="P29" s="10">
        <v>-0.28999999999999998</v>
      </c>
      <c r="Q29" s="10">
        <v>-0.28999999999999998</v>
      </c>
      <c r="R29" s="10">
        <v>-0.36</v>
      </c>
      <c r="S29" s="10">
        <v>-0.28000000000000003</v>
      </c>
      <c r="T29" s="10">
        <v>-0.24</v>
      </c>
      <c r="U29" s="10">
        <v>-0.26</v>
      </c>
      <c r="V29" s="10">
        <v>-0.32</v>
      </c>
      <c r="W29" s="10">
        <v>-0.23</v>
      </c>
      <c r="X29" s="10">
        <v>-0.28999999999999998</v>
      </c>
      <c r="Y29" s="10">
        <v>-0.25</v>
      </c>
      <c r="Z29" s="10">
        <v>-0.26</v>
      </c>
      <c r="AA29" s="10">
        <v>-0.15</v>
      </c>
      <c r="AB29" s="10">
        <v>-7.0000000000000007E-2</v>
      </c>
      <c r="AC29" s="10">
        <v>0</v>
      </c>
      <c r="AD29" s="10">
        <v>0.02</v>
      </c>
      <c r="AE29" s="10">
        <v>0.01</v>
      </c>
      <c r="AF29" s="10">
        <v>0</v>
      </c>
      <c r="AG29" s="10">
        <v>0.01</v>
      </c>
      <c r="AH29" s="10">
        <v>0.01</v>
      </c>
      <c r="AI29" s="10">
        <v>0.02</v>
      </c>
      <c r="AJ29" s="10">
        <v>0</v>
      </c>
      <c r="AK29" s="10">
        <v>0.01</v>
      </c>
      <c r="AL29" s="10">
        <v>0.01</v>
      </c>
      <c r="AM29" s="10">
        <v>0.01</v>
      </c>
      <c r="AN29" s="10">
        <v>-0.22</v>
      </c>
      <c r="AO29" s="11">
        <v>0</v>
      </c>
      <c r="AP29" s="6">
        <v>22.8</v>
      </c>
      <c r="AQ29" s="10">
        <v>1.17</v>
      </c>
      <c r="AR29" s="10">
        <v>20.25</v>
      </c>
      <c r="AS29" s="11">
        <v>20.329999999999998</v>
      </c>
      <c r="AT29" s="23">
        <f t="shared" si="1"/>
        <v>-12.399999999999999</v>
      </c>
      <c r="AU29" s="22">
        <f t="shared" ref="AU29:AU41" si="25">B29/(0.5*AQ29*(AR29^2)*0.15*0.3)</f>
        <v>-0.22973821683367993</v>
      </c>
      <c r="AV29" s="23">
        <f t="shared" ref="AV29:AV41" si="26">C29/(0.5*AQ29*(AR29^2)*0.15*0.3)</f>
        <v>1.8527275551103221E-2</v>
      </c>
      <c r="AW29" s="22">
        <f t="shared" ref="AW29:AW41" si="27">D29/(0.5*AQ29*(AR29^2)*0.15*0.3*0.15)</f>
        <v>1.2351517034068813E-2</v>
      </c>
      <c r="AX29">
        <f t="shared" si="5"/>
        <v>0.95878650976959168</v>
      </c>
      <c r="AY29">
        <f t="shared" si="6"/>
        <v>1.0004728797595739</v>
      </c>
      <c r="AZ29">
        <f t="shared" si="7"/>
        <v>0.83372739979964494</v>
      </c>
      <c r="BA29">
        <f t="shared" si="8"/>
        <v>0.20843184994991115</v>
      </c>
      <c r="BB29">
        <f t="shared" si="9"/>
        <v>-0.75035465981968053</v>
      </c>
      <c r="BC29">
        <f t="shared" si="10"/>
        <v>-0.166745479959929</v>
      </c>
      <c r="BD29">
        <f t="shared" si="11"/>
        <v>-0.29180458992987568</v>
      </c>
      <c r="BE29">
        <f t="shared" si="12"/>
        <v>-0.29180458992987568</v>
      </c>
      <c r="BF29">
        <f t="shared" si="13"/>
        <v>-0.58360917985975136</v>
      </c>
      <c r="BG29">
        <f t="shared" si="14"/>
        <v>-0.25011821993989358</v>
      </c>
      <c r="BH29">
        <f t="shared" si="15"/>
        <v>-8.3372739979964444E-2</v>
      </c>
      <c r="BI29">
        <f t="shared" si="16"/>
        <v>-0.166745479959929</v>
      </c>
      <c r="BJ29">
        <f t="shared" si="17"/>
        <v>-0.41686369989982247</v>
      </c>
      <c r="BK29">
        <f t="shared" si="18"/>
        <v>-4.1686369989982285E-2</v>
      </c>
      <c r="BL29">
        <f t="shared" si="19"/>
        <v>-0.29180458992987568</v>
      </c>
      <c r="BM29">
        <f t="shared" si="20"/>
        <v>-0.12505910996994674</v>
      </c>
      <c r="BN29">
        <f t="shared" si="21"/>
        <v>-0.166745479959929</v>
      </c>
      <c r="BO29">
        <f t="shared" si="22"/>
        <v>0.29180458992987574</v>
      </c>
      <c r="BP29">
        <f t="shared" si="23"/>
        <v>0.62529554984973368</v>
      </c>
      <c r="BQ29">
        <f t="shared" si="24"/>
        <v>0.91710013977960936</v>
      </c>
      <c r="BX29" s="17" t="s">
        <v>73</v>
      </c>
      <c r="BY29" s="1">
        <v>5.0666666666666664E-3</v>
      </c>
      <c r="BZ29" s="17" t="s">
        <v>74</v>
      </c>
      <c r="CA29" s="1">
        <v>1.0133333333333333E-2</v>
      </c>
    </row>
    <row r="30" spans="1:79" s="1" customFormat="1" ht="17.5" thickTop="1" thickBot="1" x14ac:dyDescent="0.5">
      <c r="A30" s="2">
        <v>36.5</v>
      </c>
      <c r="B30" s="3">
        <v>1.02</v>
      </c>
      <c r="C30" s="4">
        <v>0.08</v>
      </c>
      <c r="D30" s="5">
        <v>1.2999999999999999E-2</v>
      </c>
      <c r="E30" s="6">
        <v>0.4</v>
      </c>
      <c r="F30" s="7">
        <v>0.4</v>
      </c>
      <c r="G30" s="8">
        <v>238</v>
      </c>
      <c r="H30" s="9">
        <v>240</v>
      </c>
      <c r="I30" s="7">
        <v>99.4</v>
      </c>
      <c r="J30" s="12">
        <v>0.01</v>
      </c>
      <c r="K30" s="10">
        <v>0.02</v>
      </c>
      <c r="L30" s="10">
        <v>0</v>
      </c>
      <c r="M30" s="10">
        <v>-0.24</v>
      </c>
      <c r="N30" s="10">
        <v>-0.32</v>
      </c>
      <c r="O30" s="10">
        <v>-0.32</v>
      </c>
      <c r="P30" s="10">
        <v>-0.24</v>
      </c>
      <c r="Q30" s="10">
        <v>-0.33</v>
      </c>
      <c r="R30" s="10">
        <v>-0.32</v>
      </c>
      <c r="S30" s="10">
        <v>-0.31</v>
      </c>
      <c r="T30" s="10">
        <v>-0.22</v>
      </c>
      <c r="U30" s="10">
        <v>-0.28999999999999998</v>
      </c>
      <c r="V30" s="10">
        <v>-0.3</v>
      </c>
      <c r="W30" s="10">
        <v>-0.24</v>
      </c>
      <c r="X30" s="10">
        <v>-0.27</v>
      </c>
      <c r="Y30" s="10">
        <v>-0.26</v>
      </c>
      <c r="Z30" s="10">
        <v>-0.27</v>
      </c>
      <c r="AA30" s="10">
        <v>-0.16</v>
      </c>
      <c r="AB30" s="10">
        <v>-7.0000000000000007E-2</v>
      </c>
      <c r="AC30" s="10">
        <v>0</v>
      </c>
      <c r="AD30" s="10">
        <v>0.02</v>
      </c>
      <c r="AE30" s="10">
        <v>0.01</v>
      </c>
      <c r="AF30" s="10">
        <v>0</v>
      </c>
      <c r="AG30" s="10">
        <v>0.01</v>
      </c>
      <c r="AH30" s="10">
        <v>0.01</v>
      </c>
      <c r="AI30" s="10">
        <v>0.02</v>
      </c>
      <c r="AJ30" s="10">
        <v>0</v>
      </c>
      <c r="AK30" s="10">
        <v>0.01</v>
      </c>
      <c r="AL30" s="10">
        <v>0.01</v>
      </c>
      <c r="AM30" s="10">
        <v>0.01</v>
      </c>
      <c r="AN30" s="10">
        <v>-0.22</v>
      </c>
      <c r="AO30" s="11">
        <v>0</v>
      </c>
      <c r="AP30" s="6">
        <v>22.8</v>
      </c>
      <c r="AQ30" s="10">
        <v>1.17</v>
      </c>
      <c r="AR30" s="10">
        <v>20.16</v>
      </c>
      <c r="AS30" s="11">
        <v>20.25</v>
      </c>
      <c r="AT30" s="23">
        <f t="shared" si="1"/>
        <v>12.75</v>
      </c>
      <c r="AU30" s="22">
        <f t="shared" si="25"/>
        <v>9.5334641190020386E-2</v>
      </c>
      <c r="AV30" s="23">
        <f t="shared" si="26"/>
        <v>7.477226760001599E-3</v>
      </c>
      <c r="AW30" s="22">
        <f t="shared" si="27"/>
        <v>8.100328990001732E-3</v>
      </c>
      <c r="AX30">
        <f t="shared" si="5"/>
        <v>0.96736621207520679</v>
      </c>
      <c r="AY30">
        <f t="shared" si="6"/>
        <v>1.0094256126002159</v>
      </c>
      <c r="AZ30">
        <f t="shared" si="7"/>
        <v>0.92530681155019778</v>
      </c>
      <c r="BA30">
        <f t="shared" si="8"/>
        <v>-8.4118801050017941E-2</v>
      </c>
      <c r="BB30">
        <f t="shared" si="9"/>
        <v>-0.42059400525008994</v>
      </c>
      <c r="BC30">
        <f t="shared" si="10"/>
        <v>-0.42059400525008994</v>
      </c>
      <c r="BD30">
        <v>-0.494118801</v>
      </c>
      <c r="BE30">
        <f t="shared" si="12"/>
        <v>-0.462653405775099</v>
      </c>
      <c r="BF30">
        <f t="shared" si="13"/>
        <v>-0.42059400525008994</v>
      </c>
      <c r="BG30">
        <f t="shared" si="14"/>
        <v>-0.37853460472508094</v>
      </c>
      <c r="BH30">
        <v>-0.33426470000000003</v>
      </c>
      <c r="BI30">
        <f t="shared" si="16"/>
        <v>-0.29441580367506287</v>
      </c>
      <c r="BJ30">
        <v>-0.26647520400000002</v>
      </c>
      <c r="BK30">
        <v>-0.22411880100000001</v>
      </c>
      <c r="BL30">
        <f t="shared" si="19"/>
        <v>-0.21029700262504503</v>
      </c>
      <c r="BM30">
        <f t="shared" si="20"/>
        <v>-0.16823760210003599</v>
      </c>
      <c r="BN30">
        <v>-3.0297002999999999E-2</v>
      </c>
      <c r="BO30">
        <v>4.2356403000000001E-2</v>
      </c>
      <c r="BP30">
        <v>0.410891008</v>
      </c>
      <c r="BQ30">
        <v>0.39530681200000001</v>
      </c>
      <c r="BX30" s="17" t="s">
        <v>75</v>
      </c>
      <c r="BY30" s="1">
        <v>1.2066666666666667E-2</v>
      </c>
      <c r="BZ30" s="17" t="s">
        <v>76</v>
      </c>
      <c r="CA30" s="1">
        <v>5.0799999999999998E-2</v>
      </c>
    </row>
    <row r="31" spans="1:79" s="1" customFormat="1" ht="17.5" thickTop="1" thickBot="1" x14ac:dyDescent="0.5">
      <c r="A31" s="2">
        <v>474.4</v>
      </c>
      <c r="B31" s="3">
        <v>3.46</v>
      </c>
      <c r="C31" s="4">
        <v>0.18</v>
      </c>
      <c r="D31" s="5">
        <v>0.01</v>
      </c>
      <c r="E31" s="6">
        <v>2.1</v>
      </c>
      <c r="F31" s="7">
        <v>2.1</v>
      </c>
      <c r="G31" s="8">
        <v>237</v>
      </c>
      <c r="H31" s="9">
        <v>234</v>
      </c>
      <c r="I31" s="7">
        <v>99.4</v>
      </c>
      <c r="J31" s="12">
        <v>0.01</v>
      </c>
      <c r="K31" s="10">
        <v>0.02</v>
      </c>
      <c r="L31" s="10">
        <v>0</v>
      </c>
      <c r="M31" s="10">
        <v>-0.31</v>
      </c>
      <c r="N31" s="10">
        <v>-0.27</v>
      </c>
      <c r="O31" s="10">
        <v>-0.38</v>
      </c>
      <c r="P31" s="10">
        <v>-0.21</v>
      </c>
      <c r="Q31" s="10">
        <v>-0.38</v>
      </c>
      <c r="R31" s="10">
        <v>-0.28999999999999998</v>
      </c>
      <c r="S31" s="10">
        <v>-0.35</v>
      </c>
      <c r="T31" s="10">
        <v>-0.21</v>
      </c>
      <c r="U31" s="10">
        <v>-0.3</v>
      </c>
      <c r="V31" s="10">
        <v>-0.28000000000000003</v>
      </c>
      <c r="W31" s="10">
        <v>-0.25</v>
      </c>
      <c r="X31" s="10">
        <v>-0.26</v>
      </c>
      <c r="Y31" s="10">
        <v>-0.28999999999999998</v>
      </c>
      <c r="Z31" s="10">
        <v>-0.26</v>
      </c>
      <c r="AA31" s="10">
        <v>-0.16</v>
      </c>
      <c r="AB31" s="10">
        <v>-0.08</v>
      </c>
      <c r="AC31" s="10">
        <v>0.01</v>
      </c>
      <c r="AD31" s="10">
        <v>0.02</v>
      </c>
      <c r="AE31" s="10">
        <v>0.01</v>
      </c>
      <c r="AF31" s="10">
        <v>0</v>
      </c>
      <c r="AG31" s="10">
        <v>0.01</v>
      </c>
      <c r="AH31" s="10">
        <v>0.01</v>
      </c>
      <c r="AI31" s="10">
        <v>0.02</v>
      </c>
      <c r="AJ31" s="10">
        <v>0</v>
      </c>
      <c r="AK31" s="10">
        <v>0.02</v>
      </c>
      <c r="AL31" s="10">
        <v>0.01</v>
      </c>
      <c r="AM31" s="10">
        <v>0.01</v>
      </c>
      <c r="AN31" s="10">
        <v>-0.22</v>
      </c>
      <c r="AO31" s="11">
        <v>0</v>
      </c>
      <c r="AP31" s="6">
        <v>22.8</v>
      </c>
      <c r="AQ31" s="10">
        <v>1.17</v>
      </c>
      <c r="AR31" s="10">
        <v>20.12</v>
      </c>
      <c r="AS31" s="11">
        <v>19.989999999999998</v>
      </c>
      <c r="AT31" s="23">
        <f t="shared" si="1"/>
        <v>19.222222222222221</v>
      </c>
      <c r="AU31" s="22">
        <f t="shared" si="25"/>
        <v>0.32467718070470014</v>
      </c>
      <c r="AV31" s="23">
        <f t="shared" si="26"/>
        <v>1.6890720383481512E-2</v>
      </c>
      <c r="AW31" s="22">
        <f t="shared" si="27"/>
        <v>6.2558223642524115E-3</v>
      </c>
      <c r="AX31">
        <f t="shared" si="5"/>
        <v>0.97121642205018677</v>
      </c>
      <c r="AY31">
        <f t="shared" si="6"/>
        <v>1.0134432230088906</v>
      </c>
      <c r="AZ31">
        <f t="shared" si="7"/>
        <v>0.92898962109148309</v>
      </c>
      <c r="BA31">
        <f t="shared" si="8"/>
        <v>-0.38004120862833396</v>
      </c>
      <c r="BB31">
        <f t="shared" si="9"/>
        <v>-0.21113400479351893</v>
      </c>
      <c r="BC31">
        <f t="shared" si="10"/>
        <v>-0.67562881533926034</v>
      </c>
      <c r="BD31">
        <f t="shared" si="11"/>
        <v>4.2226800958703813E-2</v>
      </c>
      <c r="BE31">
        <f t="shared" si="12"/>
        <v>-0.67562881533926034</v>
      </c>
      <c r="BF31">
        <f t="shared" si="13"/>
        <v>-0.29558760671092638</v>
      </c>
      <c r="BG31">
        <f t="shared" si="14"/>
        <v>-0.54894841246314896</v>
      </c>
      <c r="BH31">
        <f t="shared" si="15"/>
        <v>4.2226800958703813E-2</v>
      </c>
      <c r="BI31">
        <f t="shared" si="16"/>
        <v>-0.33781440766963011</v>
      </c>
      <c r="BJ31">
        <f t="shared" si="17"/>
        <v>-0.25336080575222275</v>
      </c>
      <c r="BK31">
        <f t="shared" si="18"/>
        <v>-0.12668040287611132</v>
      </c>
      <c r="BL31">
        <f t="shared" si="19"/>
        <v>-0.16890720383481514</v>
      </c>
      <c r="BM31">
        <f t="shared" si="20"/>
        <v>-0.29558760671092638</v>
      </c>
      <c r="BN31">
        <f t="shared" si="21"/>
        <v>-0.16890720383481514</v>
      </c>
      <c r="BO31">
        <f t="shared" si="22"/>
        <v>0.25336080575222264</v>
      </c>
      <c r="BP31">
        <f t="shared" si="23"/>
        <v>0.59117521342185286</v>
      </c>
      <c r="BQ31">
        <f t="shared" si="24"/>
        <v>0.97121642205018677</v>
      </c>
      <c r="BX31" s="17" t="s">
        <v>77</v>
      </c>
      <c r="BY31" s="1">
        <v>7.6200000000000004E-2</v>
      </c>
      <c r="BZ31" s="17" t="s">
        <v>78</v>
      </c>
      <c r="CA31" s="1">
        <v>0.1016</v>
      </c>
    </row>
    <row r="32" spans="1:79" s="1" customFormat="1" ht="17.5" thickTop="1" thickBot="1" x14ac:dyDescent="0.5">
      <c r="A32" s="2">
        <v>748.6</v>
      </c>
      <c r="B32" s="3">
        <v>6.13</v>
      </c>
      <c r="C32" s="4">
        <v>0.26</v>
      </c>
      <c r="D32" s="5">
        <v>0.01</v>
      </c>
      <c r="E32" s="6">
        <v>4.0999999999999996</v>
      </c>
      <c r="F32" s="7">
        <v>4.0999999999999996</v>
      </c>
      <c r="G32" s="8">
        <v>242</v>
      </c>
      <c r="H32" s="9">
        <v>246</v>
      </c>
      <c r="I32" s="7">
        <v>99.4</v>
      </c>
      <c r="J32" s="12">
        <v>0.02</v>
      </c>
      <c r="K32" s="10">
        <v>0.01</v>
      </c>
      <c r="L32" s="10">
        <v>0.02</v>
      </c>
      <c r="M32" s="10">
        <v>-0.41</v>
      </c>
      <c r="N32" s="10">
        <v>-0.18</v>
      </c>
      <c r="O32" s="10">
        <v>-0.45</v>
      </c>
      <c r="P32" s="10">
        <v>-0.16</v>
      </c>
      <c r="Q32" s="10">
        <v>-0.45</v>
      </c>
      <c r="R32" s="10">
        <v>-0.26</v>
      </c>
      <c r="S32" s="10">
        <v>-0.4</v>
      </c>
      <c r="T32" s="10">
        <v>-0.19</v>
      </c>
      <c r="U32" s="10">
        <v>-0.34</v>
      </c>
      <c r="V32" s="10">
        <v>-0.25</v>
      </c>
      <c r="W32" s="10">
        <v>-0.25</v>
      </c>
      <c r="X32" s="10">
        <v>-0.24</v>
      </c>
      <c r="Y32" s="10">
        <v>-0.28999999999999998</v>
      </c>
      <c r="Z32" s="10">
        <v>-0.24</v>
      </c>
      <c r="AA32" s="10">
        <v>-0.18</v>
      </c>
      <c r="AB32" s="10">
        <v>-0.06</v>
      </c>
      <c r="AC32" s="10">
        <v>0.01</v>
      </c>
      <c r="AD32" s="10">
        <v>0.02</v>
      </c>
      <c r="AE32" s="10">
        <v>0.01</v>
      </c>
      <c r="AF32" s="10">
        <v>0</v>
      </c>
      <c r="AG32" s="10">
        <v>0.01</v>
      </c>
      <c r="AH32" s="10">
        <v>0.01</v>
      </c>
      <c r="AI32" s="10">
        <v>0.02</v>
      </c>
      <c r="AJ32" s="10">
        <v>0</v>
      </c>
      <c r="AK32" s="10">
        <v>0.02</v>
      </c>
      <c r="AL32" s="10">
        <v>0.01</v>
      </c>
      <c r="AM32" s="10">
        <v>0.01</v>
      </c>
      <c r="AN32" s="10">
        <v>-0.22</v>
      </c>
      <c r="AO32" s="11">
        <v>0</v>
      </c>
      <c r="AP32" s="6">
        <v>22.8</v>
      </c>
      <c r="AQ32" s="10">
        <v>1.17</v>
      </c>
      <c r="AR32" s="10">
        <v>20.329999999999998</v>
      </c>
      <c r="AS32" s="11">
        <v>20.5</v>
      </c>
      <c r="AT32" s="23">
        <f t="shared" si="1"/>
        <v>23.576923076923077</v>
      </c>
      <c r="AU32" s="22">
        <f t="shared" si="25"/>
        <v>0.56340064180850269</v>
      </c>
      <c r="AV32" s="23">
        <f t="shared" si="26"/>
        <v>2.3896275182742364E-2</v>
      </c>
      <c r="AW32" s="22">
        <f t="shared" si="27"/>
        <v>6.1272500468570164E-3</v>
      </c>
      <c r="AX32">
        <f t="shared" si="5"/>
        <v>0.99261450759083669</v>
      </c>
      <c r="AY32">
        <f t="shared" si="6"/>
        <v>0.95125556977455183</v>
      </c>
      <c r="AZ32">
        <f t="shared" si="7"/>
        <v>0.99261450759083669</v>
      </c>
      <c r="BA32">
        <f t="shared" si="8"/>
        <v>-0.78581981850941218</v>
      </c>
      <c r="BB32">
        <f t="shared" si="9"/>
        <v>0.16543575126513946</v>
      </c>
      <c r="BC32">
        <f t="shared" si="10"/>
        <v>-0.95125556977455183</v>
      </c>
      <c r="BD32">
        <f t="shared" si="11"/>
        <v>0.24815362689770917</v>
      </c>
      <c r="BE32">
        <f t="shared" si="12"/>
        <v>-0.95125556977455183</v>
      </c>
      <c r="BF32">
        <f t="shared" si="13"/>
        <v>-0.16543575126513946</v>
      </c>
      <c r="BG32">
        <f t="shared" si="14"/>
        <v>-0.74446088069312766</v>
      </c>
      <c r="BH32">
        <f t="shared" si="15"/>
        <v>0.12407681344885459</v>
      </c>
      <c r="BI32">
        <f t="shared" si="16"/>
        <v>-0.49630725379541846</v>
      </c>
      <c r="BJ32">
        <f t="shared" si="17"/>
        <v>-0.12407681344885459</v>
      </c>
      <c r="BK32">
        <f t="shared" si="18"/>
        <v>-0.12407681344885459</v>
      </c>
      <c r="BL32">
        <f t="shared" si="19"/>
        <v>-8.2717875632569673E-2</v>
      </c>
      <c r="BM32">
        <f t="shared" si="20"/>
        <v>-0.28951256471399395</v>
      </c>
      <c r="BN32">
        <f t="shared" si="21"/>
        <v>-8.2717875632569673E-2</v>
      </c>
      <c r="BO32">
        <f t="shared" si="22"/>
        <v>0.16543575126513946</v>
      </c>
      <c r="BP32">
        <f t="shared" si="23"/>
        <v>0.66174300506055772</v>
      </c>
      <c r="BQ32">
        <f t="shared" si="24"/>
        <v>0.95125556977455183</v>
      </c>
      <c r="BX32" s="17" t="s">
        <v>79</v>
      </c>
      <c r="BY32" s="1">
        <v>0.127</v>
      </c>
      <c r="BZ32" s="17" t="s">
        <v>80</v>
      </c>
      <c r="CA32" s="1">
        <v>0.15240000000000001</v>
      </c>
    </row>
    <row r="33" spans="1:79" s="1" customFormat="1" ht="17.5" thickTop="1" thickBot="1" x14ac:dyDescent="0.5">
      <c r="A33" s="2">
        <v>1019.2</v>
      </c>
      <c r="B33" s="3">
        <v>8.36</v>
      </c>
      <c r="C33" s="4">
        <v>0.33</v>
      </c>
      <c r="D33" s="5">
        <v>0.02</v>
      </c>
      <c r="E33" s="6">
        <v>6.1</v>
      </c>
      <c r="F33" s="7">
        <v>6.1</v>
      </c>
      <c r="G33" s="8">
        <v>237</v>
      </c>
      <c r="H33" s="9">
        <v>226</v>
      </c>
      <c r="I33" s="7">
        <v>99.4</v>
      </c>
      <c r="J33" s="12">
        <v>0.01</v>
      </c>
      <c r="K33" s="10">
        <v>-0.02</v>
      </c>
      <c r="L33" s="10">
        <v>0.02</v>
      </c>
      <c r="M33" s="10">
        <v>-0.5</v>
      </c>
      <c r="N33" s="10">
        <v>-0.14000000000000001</v>
      </c>
      <c r="O33" s="10">
        <v>-0.54</v>
      </c>
      <c r="P33" s="10">
        <v>-0.14000000000000001</v>
      </c>
      <c r="Q33" s="10">
        <v>-0.51</v>
      </c>
      <c r="R33" s="10">
        <v>-0.23</v>
      </c>
      <c r="S33" s="10">
        <v>-0.4</v>
      </c>
      <c r="T33" s="10">
        <v>-0.17</v>
      </c>
      <c r="U33" s="10">
        <v>-0.35</v>
      </c>
      <c r="V33" s="10">
        <v>-0.25</v>
      </c>
      <c r="W33" s="10">
        <v>-0.27</v>
      </c>
      <c r="X33" s="10">
        <v>-0.24</v>
      </c>
      <c r="Y33" s="10">
        <v>-0.28999999999999998</v>
      </c>
      <c r="Z33" s="10">
        <v>-0.24</v>
      </c>
      <c r="AA33" s="10">
        <v>-0.18</v>
      </c>
      <c r="AB33" s="10">
        <v>-0.06</v>
      </c>
      <c r="AC33" s="10">
        <v>0.01</v>
      </c>
      <c r="AD33" s="10">
        <v>0.02</v>
      </c>
      <c r="AE33" s="10">
        <v>0.01</v>
      </c>
      <c r="AF33" s="10">
        <v>0</v>
      </c>
      <c r="AG33" s="10">
        <v>0.02</v>
      </c>
      <c r="AH33" s="10">
        <v>0.02</v>
      </c>
      <c r="AI33" s="10">
        <v>0.02</v>
      </c>
      <c r="AJ33" s="10">
        <v>0</v>
      </c>
      <c r="AK33" s="10">
        <v>0.02</v>
      </c>
      <c r="AL33" s="10">
        <v>0.02</v>
      </c>
      <c r="AM33" s="10">
        <v>0.01</v>
      </c>
      <c r="AN33" s="10">
        <v>-0.22</v>
      </c>
      <c r="AO33" s="11">
        <v>0</v>
      </c>
      <c r="AP33" s="6">
        <v>22.8</v>
      </c>
      <c r="AQ33" s="10">
        <v>1.17</v>
      </c>
      <c r="AR33" s="10">
        <v>20.12</v>
      </c>
      <c r="AS33" s="11">
        <v>19.649999999999999</v>
      </c>
      <c r="AT33" s="23">
        <f t="shared" si="1"/>
        <v>25.333333333333332</v>
      </c>
      <c r="AU33" s="22">
        <f t="shared" si="25"/>
        <v>0.78448012447725235</v>
      </c>
      <c r="AV33" s="23">
        <f t="shared" si="26"/>
        <v>3.096632070304944E-2</v>
      </c>
      <c r="AW33" s="22">
        <f t="shared" si="27"/>
        <v>1.2511644728504823E-2</v>
      </c>
      <c r="AX33">
        <f t="shared" si="5"/>
        <v>0.97121642205018677</v>
      </c>
      <c r="AY33">
        <f t="shared" si="6"/>
        <v>0.8445360191740755</v>
      </c>
      <c r="AZ33">
        <f t="shared" si="7"/>
        <v>1.0134432230088906</v>
      </c>
      <c r="BA33">
        <f t="shared" si="8"/>
        <v>-1.1823504268437057</v>
      </c>
      <c r="BB33">
        <f t="shared" si="9"/>
        <v>0.33781440766963011</v>
      </c>
      <c r="BC33">
        <f t="shared" si="10"/>
        <v>-1.3512576306785211</v>
      </c>
      <c r="BD33">
        <f t="shared" si="11"/>
        <v>0.33781440766963011</v>
      </c>
      <c r="BE33">
        <f t="shared" si="12"/>
        <v>-1.2245772278024096</v>
      </c>
      <c r="BF33">
        <f t="shared" si="13"/>
        <v>-4.2226800958703813E-2</v>
      </c>
      <c r="BG33">
        <f t="shared" si="14"/>
        <v>-0.76008241725666803</v>
      </c>
      <c r="BH33">
        <f t="shared" si="15"/>
        <v>0.21113400479351882</v>
      </c>
      <c r="BI33">
        <f t="shared" si="16"/>
        <v>-0.54894841246314896</v>
      </c>
      <c r="BJ33">
        <f t="shared" si="17"/>
        <v>-0.12668040287611132</v>
      </c>
      <c r="BK33">
        <f t="shared" si="18"/>
        <v>-0.21113400479351893</v>
      </c>
      <c r="BL33">
        <f t="shared" si="19"/>
        <v>-8.44536019174075E-2</v>
      </c>
      <c r="BM33">
        <f t="shared" si="20"/>
        <v>-0.29558760671092638</v>
      </c>
      <c r="BN33">
        <f t="shared" si="21"/>
        <v>-8.44536019174075E-2</v>
      </c>
      <c r="BO33">
        <f t="shared" si="22"/>
        <v>0.16890720383481514</v>
      </c>
      <c r="BP33">
        <f t="shared" si="23"/>
        <v>0.67562881533926034</v>
      </c>
      <c r="BQ33">
        <f t="shared" si="24"/>
        <v>0.97121642205018677</v>
      </c>
      <c r="BX33" s="17" t="s">
        <v>81</v>
      </c>
      <c r="BY33" s="1">
        <v>0.25333333333333335</v>
      </c>
      <c r="BZ33" s="17" t="s">
        <v>82</v>
      </c>
      <c r="CA33" s="1">
        <v>0.27433333333333332</v>
      </c>
    </row>
    <row r="34" spans="1:79" s="1" customFormat="1" ht="17.5" thickTop="1" thickBot="1" x14ac:dyDescent="0.5">
      <c r="A34" s="2">
        <v>1224.9000000000001</v>
      </c>
      <c r="B34" s="3">
        <v>10.43</v>
      </c>
      <c r="C34" s="4">
        <v>0.46</v>
      </c>
      <c r="D34" s="5">
        <v>3.5000000000000003E-2</v>
      </c>
      <c r="E34" s="6">
        <v>8.1</v>
      </c>
      <c r="F34" s="7">
        <v>8.1</v>
      </c>
      <c r="G34" s="8">
        <v>237</v>
      </c>
      <c r="H34" s="9">
        <v>230</v>
      </c>
      <c r="I34" s="7">
        <v>99.4</v>
      </c>
      <c r="J34" s="12">
        <v>0.01</v>
      </c>
      <c r="K34" s="10">
        <v>-0.05</v>
      </c>
      <c r="L34" s="10">
        <v>0.02</v>
      </c>
      <c r="M34" s="10">
        <v>-0.61</v>
      </c>
      <c r="N34" s="10">
        <v>-0.11</v>
      </c>
      <c r="O34" s="10">
        <v>-0.59</v>
      </c>
      <c r="P34" s="10">
        <v>-0.11</v>
      </c>
      <c r="Q34" s="10">
        <v>-0.52</v>
      </c>
      <c r="R34" s="10">
        <v>-0.21</v>
      </c>
      <c r="S34" s="10">
        <v>-0.43</v>
      </c>
      <c r="T34" s="10">
        <v>-0.16</v>
      </c>
      <c r="U34" s="10">
        <v>-0.36</v>
      </c>
      <c r="V34" s="10">
        <v>-0.24</v>
      </c>
      <c r="W34" s="10">
        <v>-0.27</v>
      </c>
      <c r="X34" s="10">
        <v>-0.24</v>
      </c>
      <c r="Y34" s="10">
        <v>-0.3</v>
      </c>
      <c r="Z34" s="10">
        <v>-0.24</v>
      </c>
      <c r="AA34" s="10">
        <v>-0.18</v>
      </c>
      <c r="AB34" s="10">
        <v>-0.06</v>
      </c>
      <c r="AC34" s="10">
        <v>0.01</v>
      </c>
      <c r="AD34" s="10">
        <v>0.02</v>
      </c>
      <c r="AE34" s="10">
        <v>0.01</v>
      </c>
      <c r="AF34" s="10">
        <v>0</v>
      </c>
      <c r="AG34" s="10">
        <v>0.01</v>
      </c>
      <c r="AH34" s="10">
        <v>0.02</v>
      </c>
      <c r="AI34" s="10">
        <v>0.02</v>
      </c>
      <c r="AJ34" s="10">
        <v>0</v>
      </c>
      <c r="AK34" s="10">
        <v>0.02</v>
      </c>
      <c r="AL34" s="10">
        <v>0.02</v>
      </c>
      <c r="AM34" s="10">
        <v>0.01</v>
      </c>
      <c r="AN34" s="10">
        <v>-0.22</v>
      </c>
      <c r="AO34" s="11">
        <v>0</v>
      </c>
      <c r="AP34" s="6">
        <v>22.8</v>
      </c>
      <c r="AQ34" s="10">
        <v>1.17</v>
      </c>
      <c r="AR34" s="10">
        <v>20.12</v>
      </c>
      <c r="AS34" s="11">
        <v>19.82</v>
      </c>
      <c r="AT34" s="23">
        <f t="shared" si="1"/>
        <v>22.673913043478258</v>
      </c>
      <c r="AU34" s="22">
        <f t="shared" si="25"/>
        <v>0.97872340888728981</v>
      </c>
      <c r="AV34" s="23">
        <f t="shared" si="26"/>
        <v>4.3165174313341645E-2</v>
      </c>
      <c r="AW34" s="22">
        <f t="shared" si="27"/>
        <v>2.1895378274883442E-2</v>
      </c>
      <c r="AX34">
        <f t="shared" si="5"/>
        <v>0.97121642205018677</v>
      </c>
      <c r="AY34">
        <f t="shared" si="6"/>
        <v>0.71785561629796402</v>
      </c>
      <c r="AZ34">
        <f t="shared" si="7"/>
        <v>1.0134432230088906</v>
      </c>
      <c r="BA34">
        <f t="shared" si="8"/>
        <v>-1.6468452373894471</v>
      </c>
      <c r="BB34">
        <f t="shared" si="9"/>
        <v>0.46449481054574154</v>
      </c>
      <c r="BC34">
        <f t="shared" si="10"/>
        <v>-1.5623916354720397</v>
      </c>
      <c r="BD34">
        <f t="shared" si="11"/>
        <v>0.46449481054574154</v>
      </c>
      <c r="BE34">
        <f t="shared" si="12"/>
        <v>-1.2668040287611135</v>
      </c>
      <c r="BF34">
        <f t="shared" si="13"/>
        <v>4.2226800958703813E-2</v>
      </c>
      <c r="BG34">
        <f t="shared" si="14"/>
        <v>-0.88676282013277929</v>
      </c>
      <c r="BH34">
        <f t="shared" si="15"/>
        <v>0.25336080575222264</v>
      </c>
      <c r="BI34">
        <f t="shared" si="16"/>
        <v>-0.59117521342185275</v>
      </c>
      <c r="BJ34">
        <f t="shared" si="17"/>
        <v>-8.44536019174075E-2</v>
      </c>
      <c r="BK34">
        <f t="shared" si="18"/>
        <v>-0.21113400479351893</v>
      </c>
      <c r="BL34">
        <f t="shared" si="19"/>
        <v>-8.44536019174075E-2</v>
      </c>
      <c r="BM34">
        <f t="shared" si="20"/>
        <v>-0.33781440766963011</v>
      </c>
      <c r="BN34">
        <f t="shared" si="21"/>
        <v>-8.44536019174075E-2</v>
      </c>
      <c r="BO34">
        <f t="shared" si="22"/>
        <v>0.16890720383481514</v>
      </c>
      <c r="BP34">
        <f t="shared" si="23"/>
        <v>0.67562881533926034</v>
      </c>
      <c r="BQ34">
        <f t="shared" si="24"/>
        <v>0.97121642205018677</v>
      </c>
      <c r="BX34" s="17" t="s">
        <v>83</v>
      </c>
      <c r="BY34" s="1">
        <v>0.41333333333333333</v>
      </c>
      <c r="BZ34" s="17" t="s">
        <v>84</v>
      </c>
      <c r="CA34" s="1">
        <v>0.39626666666666666</v>
      </c>
    </row>
    <row r="35" spans="1:79" s="1" customFormat="1" ht="17.5" thickTop="1" thickBot="1" x14ac:dyDescent="0.5">
      <c r="A35" s="2">
        <v>1401.8</v>
      </c>
      <c r="B35" s="3">
        <v>12.01</v>
      </c>
      <c r="C35" s="4">
        <v>0.86</v>
      </c>
      <c r="D35" s="5">
        <v>0.05</v>
      </c>
      <c r="E35" s="6">
        <v>10.1</v>
      </c>
      <c r="F35" s="7">
        <v>10.1</v>
      </c>
      <c r="G35" s="8">
        <v>236</v>
      </c>
      <c r="H35" s="9">
        <v>230</v>
      </c>
      <c r="I35" s="7">
        <v>99.4</v>
      </c>
      <c r="J35" s="12">
        <v>0.02</v>
      </c>
      <c r="K35" s="10">
        <v>-7.0000000000000007E-2</v>
      </c>
      <c r="L35" s="10">
        <v>0.02</v>
      </c>
      <c r="M35" s="10">
        <v>-0.79</v>
      </c>
      <c r="N35" s="10">
        <v>-7.0000000000000007E-2</v>
      </c>
      <c r="O35" s="10">
        <v>-0.56000000000000005</v>
      </c>
      <c r="P35" s="10">
        <v>-0.09</v>
      </c>
      <c r="Q35" s="10">
        <v>-0.56000000000000005</v>
      </c>
      <c r="R35" s="10">
        <v>-0.19</v>
      </c>
      <c r="S35" s="10">
        <v>-0.46</v>
      </c>
      <c r="T35" s="10">
        <v>-0.16</v>
      </c>
      <c r="U35" s="10">
        <v>-0.38</v>
      </c>
      <c r="V35" s="10">
        <v>-0.24</v>
      </c>
      <c r="W35" s="10">
        <v>-0.26</v>
      </c>
      <c r="X35" s="10">
        <v>-0.23</v>
      </c>
      <c r="Y35" s="10">
        <v>-0.31</v>
      </c>
      <c r="Z35" s="10">
        <v>-0.24</v>
      </c>
      <c r="AA35" s="10">
        <v>-0.18</v>
      </c>
      <c r="AB35" s="10">
        <v>-7.0000000000000007E-2</v>
      </c>
      <c r="AC35" s="10">
        <v>0.01</v>
      </c>
      <c r="AD35" s="10">
        <v>0.02</v>
      </c>
      <c r="AE35" s="10">
        <v>0.01</v>
      </c>
      <c r="AF35" s="10">
        <v>0</v>
      </c>
      <c r="AG35" s="10">
        <v>0.02</v>
      </c>
      <c r="AH35" s="10">
        <v>0.02</v>
      </c>
      <c r="AI35" s="10">
        <v>0.02</v>
      </c>
      <c r="AJ35" s="10">
        <v>0</v>
      </c>
      <c r="AK35" s="10">
        <v>0.02</v>
      </c>
      <c r="AL35" s="10">
        <v>0.02</v>
      </c>
      <c r="AM35" s="10">
        <v>0.01</v>
      </c>
      <c r="AN35" s="10">
        <v>-0.22</v>
      </c>
      <c r="AO35" s="11">
        <v>0</v>
      </c>
      <c r="AP35" s="6">
        <v>22.8</v>
      </c>
      <c r="AQ35" s="10">
        <v>1.17</v>
      </c>
      <c r="AR35" s="10">
        <v>20.079999999999998</v>
      </c>
      <c r="AS35" s="11">
        <v>19.82</v>
      </c>
      <c r="AT35" s="23">
        <f t="shared" si="1"/>
        <v>13.965116279069768</v>
      </c>
      <c r="AU35" s="22">
        <f t="shared" si="25"/>
        <v>1.1314808566704042</v>
      </c>
      <c r="AV35" s="23">
        <f t="shared" si="26"/>
        <v>8.1021943108788325E-2</v>
      </c>
      <c r="AW35" s="22">
        <f t="shared" si="27"/>
        <v>3.1403853918135008E-2</v>
      </c>
      <c r="AX35">
        <v>0.67748486699999999</v>
      </c>
      <c r="AY35">
        <f t="shared" si="6"/>
        <v>0.63592804184223384</v>
      </c>
      <c r="AZ35">
        <f t="shared" si="7"/>
        <v>1.0174848669475742</v>
      </c>
      <c r="BA35">
        <v>-2.0165265589999999</v>
      </c>
      <c r="BB35">
        <f t="shared" si="9"/>
        <v>0.63592804184223384</v>
      </c>
      <c r="BC35">
        <v>-1.5414368949999999</v>
      </c>
      <c r="BD35">
        <f t="shared" si="11"/>
        <v>0.55113763626326928</v>
      </c>
      <c r="BE35">
        <f t="shared" si="12"/>
        <v>-1.441436894842397</v>
      </c>
      <c r="BF35">
        <v>0.23718560799999999</v>
      </c>
      <c r="BG35">
        <f t="shared" si="14"/>
        <v>-1.0174848669475742</v>
      </c>
      <c r="BH35">
        <v>9.4371216999999993E-2</v>
      </c>
      <c r="BI35">
        <f t="shared" si="16"/>
        <v>-0.67832324463171612</v>
      </c>
      <c r="BJ35">
        <f t="shared" si="17"/>
        <v>-8.4790405578964473E-2</v>
      </c>
      <c r="BK35">
        <v>-0.51958081099999998</v>
      </c>
      <c r="BL35">
        <f t="shared" si="19"/>
        <v>-4.2395202789482292E-2</v>
      </c>
      <c r="BM35">
        <f t="shared" si="20"/>
        <v>-0.38155682510534028</v>
      </c>
      <c r="BN35">
        <v>0.635089664</v>
      </c>
      <c r="BO35">
        <v>-8.4790405999999999E-2</v>
      </c>
      <c r="BP35">
        <v>0.88595808109999996</v>
      </c>
      <c r="BQ35">
        <v>0.63592804199999997</v>
      </c>
      <c r="BX35" s="17" t="s">
        <v>85</v>
      </c>
      <c r="BY35" s="1">
        <v>0.53846666666666665</v>
      </c>
      <c r="BZ35" s="17" t="s">
        <v>86</v>
      </c>
      <c r="CA35" s="1">
        <v>0.51819999999999999</v>
      </c>
    </row>
    <row r="36" spans="1:79" s="1" customFormat="1" ht="17.5" thickTop="1" thickBot="1" x14ac:dyDescent="0.5">
      <c r="A36" s="2">
        <v>1761</v>
      </c>
      <c r="B36" s="3">
        <v>9.32</v>
      </c>
      <c r="C36" s="4">
        <v>1.97</v>
      </c>
      <c r="D36" s="5">
        <v>-0.14000000000000001</v>
      </c>
      <c r="E36" s="6">
        <v>10.9</v>
      </c>
      <c r="F36" s="7">
        <v>11.1</v>
      </c>
      <c r="G36" s="8">
        <v>238</v>
      </c>
      <c r="H36" s="9">
        <v>250</v>
      </c>
      <c r="I36" s="7">
        <v>99.4</v>
      </c>
      <c r="J36" s="12">
        <v>0.01</v>
      </c>
      <c r="K36" s="10">
        <v>-0.08</v>
      </c>
      <c r="L36" s="10">
        <v>0.02</v>
      </c>
      <c r="M36" s="10">
        <v>-0.88</v>
      </c>
      <c r="N36" s="10">
        <v>-0.05</v>
      </c>
      <c r="O36" s="10">
        <v>-0.59</v>
      </c>
      <c r="P36" s="10">
        <v>-0.08</v>
      </c>
      <c r="Q36" s="10">
        <v>-0.56999999999999995</v>
      </c>
      <c r="R36" s="10">
        <v>-0.18</v>
      </c>
      <c r="S36" s="10">
        <v>-0.46</v>
      </c>
      <c r="T36" s="10">
        <v>-0.14000000000000001</v>
      </c>
      <c r="U36" s="10">
        <v>-0.38</v>
      </c>
      <c r="V36" s="10">
        <v>-0.24</v>
      </c>
      <c r="W36" s="10">
        <v>-0.25</v>
      </c>
      <c r="X36" s="10">
        <v>-0.23</v>
      </c>
      <c r="Y36" s="10">
        <v>-0.3</v>
      </c>
      <c r="Z36" s="10">
        <v>-0.24</v>
      </c>
      <c r="AA36" s="10">
        <v>-0.18</v>
      </c>
      <c r="AB36" s="10">
        <v>-0.08</v>
      </c>
      <c r="AC36" s="10">
        <v>0.01</v>
      </c>
      <c r="AD36" s="10">
        <v>0.02</v>
      </c>
      <c r="AE36" s="10">
        <v>0.01</v>
      </c>
      <c r="AF36" s="10">
        <v>0</v>
      </c>
      <c r="AG36" s="10">
        <v>0.01</v>
      </c>
      <c r="AH36" s="10">
        <v>0.02</v>
      </c>
      <c r="AI36" s="10">
        <v>0.02</v>
      </c>
      <c r="AJ36" s="10">
        <v>0</v>
      </c>
      <c r="AK36" s="10">
        <v>0.02</v>
      </c>
      <c r="AL36" s="10">
        <v>0.02</v>
      </c>
      <c r="AM36" s="10">
        <v>0.01</v>
      </c>
      <c r="AN36" s="10">
        <v>-0.22</v>
      </c>
      <c r="AO36" s="11">
        <v>0</v>
      </c>
      <c r="AP36" s="6">
        <v>22.8</v>
      </c>
      <c r="AQ36" s="10">
        <v>1.17</v>
      </c>
      <c r="AR36" s="10">
        <v>20.16</v>
      </c>
      <c r="AS36" s="11">
        <v>20.66</v>
      </c>
      <c r="AT36" s="23">
        <f t="shared" si="1"/>
        <v>4.7309644670050766</v>
      </c>
      <c r="AU36" s="22">
        <f t="shared" si="25"/>
        <v>0.87109691754018637</v>
      </c>
      <c r="AV36" s="23">
        <f t="shared" si="26"/>
        <v>0.18412670896503938</v>
      </c>
      <c r="AW36" s="22">
        <f t="shared" si="27"/>
        <v>-8.7234312200018677E-2</v>
      </c>
      <c r="AX36">
        <f t="shared" si="5"/>
        <v>0.96736621207520679</v>
      </c>
      <c r="AY36">
        <f t="shared" si="6"/>
        <v>0.58883160735012585</v>
      </c>
      <c r="AZ36">
        <f t="shared" si="7"/>
        <v>1.0094256126002159</v>
      </c>
      <c r="BA36">
        <f t="shared" si="8"/>
        <v>-2.7759204346505935</v>
      </c>
      <c r="BB36">
        <f t="shared" si="9"/>
        <v>0.71500980892515276</v>
      </c>
      <c r="BC36">
        <f t="shared" si="10"/>
        <v>-1.5561978194253328</v>
      </c>
      <c r="BD36">
        <f t="shared" si="11"/>
        <v>0.58883160735012585</v>
      </c>
      <c r="BE36">
        <f t="shared" si="12"/>
        <v>-1.4720790183753147</v>
      </c>
      <c r="BF36">
        <f t="shared" si="13"/>
        <v>0.16823760210003599</v>
      </c>
      <c r="BG36">
        <f t="shared" si="14"/>
        <v>-1.0094256126002159</v>
      </c>
      <c r="BH36">
        <f t="shared" si="15"/>
        <v>0.33647520420007188</v>
      </c>
      <c r="BI36">
        <f t="shared" si="16"/>
        <v>-0.67295040840014386</v>
      </c>
      <c r="BJ36">
        <f t="shared" si="17"/>
        <v>-8.4118801050017941E-2</v>
      </c>
      <c r="BK36">
        <f t="shared" si="18"/>
        <v>-0.12617820157502699</v>
      </c>
      <c r="BL36">
        <f t="shared" si="19"/>
        <v>-4.2059400525009033E-2</v>
      </c>
      <c r="BM36">
        <f t="shared" si="20"/>
        <v>-0.33647520420007188</v>
      </c>
      <c r="BN36">
        <f t="shared" si="21"/>
        <v>-8.4118801050017941E-2</v>
      </c>
      <c r="BO36">
        <f t="shared" si="22"/>
        <v>0.16823760210003599</v>
      </c>
      <c r="BP36">
        <f t="shared" si="23"/>
        <v>0.58883160735012585</v>
      </c>
      <c r="BQ36">
        <f t="shared" si="24"/>
        <v>0.96736621207520679</v>
      </c>
      <c r="BX36" s="17" t="s">
        <v>87</v>
      </c>
      <c r="BY36" s="1">
        <v>0.67566666666666664</v>
      </c>
      <c r="BZ36" s="17" t="s">
        <v>88</v>
      </c>
      <c r="CA36" s="1">
        <v>0.64013333333333333</v>
      </c>
    </row>
    <row r="37" spans="1:79" s="1" customFormat="1" ht="17.5" thickTop="1" thickBot="1" x14ac:dyDescent="0.5">
      <c r="A37" s="2">
        <v>1967.5</v>
      </c>
      <c r="B37" s="3">
        <v>8.2100000000000009</v>
      </c>
      <c r="C37" s="4">
        <v>2.3199999999999998</v>
      </c>
      <c r="D37" s="5">
        <v>-0.17</v>
      </c>
      <c r="E37" s="6">
        <v>11.9</v>
      </c>
      <c r="F37" s="7">
        <v>12.2</v>
      </c>
      <c r="G37" s="8">
        <v>237</v>
      </c>
      <c r="H37" s="9">
        <v>246</v>
      </c>
      <c r="I37" s="7">
        <v>99.4</v>
      </c>
      <c r="J37" s="12">
        <v>0.02</v>
      </c>
      <c r="K37" s="10">
        <v>0.01</v>
      </c>
      <c r="L37" s="10">
        <v>0.02</v>
      </c>
      <c r="M37" s="10">
        <v>-0.35</v>
      </c>
      <c r="N37" s="10">
        <v>-0.11</v>
      </c>
      <c r="O37" s="10">
        <v>-0.45</v>
      </c>
      <c r="P37" s="10">
        <v>-0.11</v>
      </c>
      <c r="Q37" s="10">
        <v>-0.45</v>
      </c>
      <c r="R37" s="10">
        <v>-0.21</v>
      </c>
      <c r="S37" s="10">
        <v>-0.44</v>
      </c>
      <c r="T37" s="10">
        <v>-0.17</v>
      </c>
      <c r="U37" s="10">
        <v>-0.41</v>
      </c>
      <c r="V37" s="10">
        <v>-0.27</v>
      </c>
      <c r="W37" s="10">
        <v>-0.31</v>
      </c>
      <c r="X37" s="10">
        <v>-0.27</v>
      </c>
      <c r="Y37" s="10">
        <v>-0.39</v>
      </c>
      <c r="Z37" s="10">
        <v>-0.28999999999999998</v>
      </c>
      <c r="AA37" s="10">
        <v>-0.24</v>
      </c>
      <c r="AB37" s="10">
        <v>-0.1</v>
      </c>
      <c r="AC37" s="10">
        <v>0.01</v>
      </c>
      <c r="AD37" s="10">
        <v>0.02</v>
      </c>
      <c r="AE37" s="10">
        <v>0.01</v>
      </c>
      <c r="AF37" s="10">
        <v>0</v>
      </c>
      <c r="AG37" s="10">
        <v>0.02</v>
      </c>
      <c r="AH37" s="10">
        <v>0.02</v>
      </c>
      <c r="AI37" s="10">
        <v>0.02</v>
      </c>
      <c r="AJ37" s="10">
        <v>0</v>
      </c>
      <c r="AK37" s="10">
        <v>0.02</v>
      </c>
      <c r="AL37" s="10">
        <v>0.02</v>
      </c>
      <c r="AM37" s="10">
        <v>0.01</v>
      </c>
      <c r="AN37" s="10">
        <v>-0.23</v>
      </c>
      <c r="AO37" s="11">
        <v>0</v>
      </c>
      <c r="AP37" s="6">
        <v>22.8</v>
      </c>
      <c r="AQ37" s="10">
        <v>1.17</v>
      </c>
      <c r="AR37" s="10">
        <v>20.12</v>
      </c>
      <c r="AS37" s="11">
        <v>20.5</v>
      </c>
      <c r="AT37" s="23">
        <f t="shared" si="1"/>
        <v>3.5387931034482767</v>
      </c>
      <c r="AU37" s="22">
        <f t="shared" si="25"/>
        <v>0.77040452415768457</v>
      </c>
      <c r="AV37" s="23">
        <f t="shared" si="26"/>
        <v>0.21770261827598392</v>
      </c>
      <c r="AW37" s="22">
        <f t="shared" si="27"/>
        <v>-0.10634898019229101</v>
      </c>
      <c r="AX37">
        <f t="shared" si="5"/>
        <v>1.0556700239675945</v>
      </c>
      <c r="AY37">
        <f t="shared" si="6"/>
        <v>1.0134432230088908</v>
      </c>
      <c r="AZ37">
        <f t="shared" si="7"/>
        <v>1.0556700239675945</v>
      </c>
      <c r="BA37">
        <f t="shared" si="8"/>
        <v>-0.50672161150444517</v>
      </c>
      <c r="BB37">
        <f t="shared" si="9"/>
        <v>0.50672161150444539</v>
      </c>
      <c r="BC37">
        <f t="shared" si="10"/>
        <v>-0.92898962109148309</v>
      </c>
      <c r="BD37">
        <f t="shared" si="11"/>
        <v>0.50672161150444539</v>
      </c>
      <c r="BE37">
        <f t="shared" si="12"/>
        <v>-0.92898962109148309</v>
      </c>
      <c r="BF37">
        <f t="shared" si="13"/>
        <v>8.4453601917407625E-2</v>
      </c>
      <c r="BG37">
        <f t="shared" si="14"/>
        <v>-0.88676282013277929</v>
      </c>
      <c r="BH37">
        <f t="shared" si="15"/>
        <v>0.25336080575222264</v>
      </c>
      <c r="BI37">
        <f t="shared" si="16"/>
        <v>-0.76008241725666781</v>
      </c>
      <c r="BJ37">
        <f t="shared" si="17"/>
        <v>-0.16890720383481514</v>
      </c>
      <c r="BK37">
        <f t="shared" si="18"/>
        <v>-0.33781440766963011</v>
      </c>
      <c r="BL37">
        <f t="shared" si="19"/>
        <v>-0.16890720383481514</v>
      </c>
      <c r="BM37">
        <f t="shared" si="20"/>
        <v>-0.67562881533926034</v>
      </c>
      <c r="BN37">
        <f t="shared" si="21"/>
        <v>-0.25336080575222253</v>
      </c>
      <c r="BO37">
        <f t="shared" si="22"/>
        <v>-4.2226800958703695E-2</v>
      </c>
      <c r="BP37">
        <f t="shared" si="23"/>
        <v>0.54894841246314907</v>
      </c>
      <c r="BQ37">
        <f t="shared" si="24"/>
        <v>1.0134432230088908</v>
      </c>
      <c r="BX37" s="17" t="s">
        <v>89</v>
      </c>
      <c r="BY37" s="1">
        <v>0.81279999999999997</v>
      </c>
      <c r="BZ37" s="17" t="s">
        <v>90</v>
      </c>
      <c r="CA37" s="1">
        <v>0.76200000000000001</v>
      </c>
    </row>
    <row r="38" spans="1:79" s="1" customFormat="1" ht="17.5" thickTop="1" thickBot="1" x14ac:dyDescent="0.5">
      <c r="A38" s="2">
        <v>2296.9</v>
      </c>
      <c r="B38" s="3">
        <v>8.25</v>
      </c>
      <c r="C38" s="4">
        <v>2.68</v>
      </c>
      <c r="D38" s="5">
        <v>-0.18</v>
      </c>
      <c r="E38" s="6">
        <v>13.1</v>
      </c>
      <c r="F38" s="7">
        <v>13.1</v>
      </c>
      <c r="G38" s="8">
        <v>239</v>
      </c>
      <c r="H38" s="9">
        <v>254</v>
      </c>
      <c r="I38" s="7">
        <v>99.4</v>
      </c>
      <c r="J38" s="12">
        <v>0.02</v>
      </c>
      <c r="K38" s="10">
        <v>0.02</v>
      </c>
      <c r="L38" s="10">
        <v>0.02</v>
      </c>
      <c r="M38" s="10">
        <v>-0.3</v>
      </c>
      <c r="N38" s="10">
        <v>-0.12</v>
      </c>
      <c r="O38" s="10">
        <v>-0.4</v>
      </c>
      <c r="P38" s="10">
        <v>-0.11</v>
      </c>
      <c r="Q38" s="10">
        <v>-0.39</v>
      </c>
      <c r="R38" s="10">
        <v>-0.23</v>
      </c>
      <c r="S38" s="10">
        <v>-0.38</v>
      </c>
      <c r="T38" s="10">
        <v>-0.18</v>
      </c>
      <c r="U38" s="10">
        <v>-0.37</v>
      </c>
      <c r="V38" s="10">
        <v>-0.27</v>
      </c>
      <c r="W38" s="10">
        <v>-0.28999999999999998</v>
      </c>
      <c r="X38" s="10">
        <v>-0.28999999999999998</v>
      </c>
      <c r="Y38" s="10">
        <v>-0.38</v>
      </c>
      <c r="Z38" s="10">
        <v>-0.31</v>
      </c>
      <c r="AA38" s="10">
        <v>-0.26</v>
      </c>
      <c r="AB38" s="10">
        <v>-0.1</v>
      </c>
      <c r="AC38" s="10">
        <v>0.01</v>
      </c>
      <c r="AD38" s="10">
        <v>0.02</v>
      </c>
      <c r="AE38" s="10">
        <v>0.02</v>
      </c>
      <c r="AF38" s="10">
        <v>0</v>
      </c>
      <c r="AG38" s="10">
        <v>0.02</v>
      </c>
      <c r="AH38" s="10">
        <v>0.02</v>
      </c>
      <c r="AI38" s="10">
        <v>0.02</v>
      </c>
      <c r="AJ38" s="10">
        <v>0</v>
      </c>
      <c r="AK38" s="10">
        <v>0.02</v>
      </c>
      <c r="AL38" s="10">
        <v>0.02</v>
      </c>
      <c r="AM38" s="10">
        <v>0.01</v>
      </c>
      <c r="AN38" s="10">
        <v>-0.22</v>
      </c>
      <c r="AO38" s="11">
        <v>0</v>
      </c>
      <c r="AP38" s="6">
        <v>22.8</v>
      </c>
      <c r="AQ38" s="10">
        <v>1.17</v>
      </c>
      <c r="AR38" s="10">
        <v>20.21</v>
      </c>
      <c r="AS38" s="11">
        <v>20.83</v>
      </c>
      <c r="AT38" s="23">
        <f t="shared" si="1"/>
        <v>3.0783582089552235</v>
      </c>
      <c r="AU38" s="22">
        <f t="shared" si="25"/>
        <v>0.76727834577684773</v>
      </c>
      <c r="AV38" s="23">
        <f t="shared" si="26"/>
        <v>0.24924920808266085</v>
      </c>
      <c r="AW38" s="22">
        <f t="shared" si="27"/>
        <v>-0.11160412302208694</v>
      </c>
      <c r="AX38">
        <f t="shared" si="5"/>
        <v>1.0044371071987825</v>
      </c>
      <c r="AY38">
        <f t="shared" si="6"/>
        <v>1.0044371071987825</v>
      </c>
      <c r="AZ38">
        <f t="shared" si="7"/>
        <v>1.0044371071987825</v>
      </c>
      <c r="BA38">
        <f t="shared" si="8"/>
        <v>-0.33481236906626077</v>
      </c>
      <c r="BB38">
        <f t="shared" si="9"/>
        <v>0.41851546133282602</v>
      </c>
      <c r="BC38">
        <f t="shared" si="10"/>
        <v>-0.75332783039908691</v>
      </c>
      <c r="BD38">
        <f t="shared" si="11"/>
        <v>0.46036700746610865</v>
      </c>
      <c r="BE38">
        <f t="shared" si="12"/>
        <v>-0.71147628426580423</v>
      </c>
      <c r="BF38">
        <f t="shared" si="13"/>
        <v>-4.1851546133282638E-2</v>
      </c>
      <c r="BG38">
        <f t="shared" si="14"/>
        <v>-0.66962473813252166</v>
      </c>
      <c r="BH38">
        <f t="shared" si="15"/>
        <v>0.16740618453313044</v>
      </c>
      <c r="BI38">
        <f t="shared" si="16"/>
        <v>-0.62777319199923898</v>
      </c>
      <c r="BJ38">
        <f t="shared" si="17"/>
        <v>-0.20925773066641307</v>
      </c>
      <c r="BK38">
        <f t="shared" si="18"/>
        <v>-0.29296082293297815</v>
      </c>
      <c r="BL38">
        <f t="shared" si="19"/>
        <v>-0.29296082293297815</v>
      </c>
      <c r="BM38">
        <f t="shared" si="20"/>
        <v>-0.66962473813252166</v>
      </c>
      <c r="BN38">
        <f t="shared" si="21"/>
        <v>-0.3766639151995434</v>
      </c>
      <c r="BO38">
        <f t="shared" si="22"/>
        <v>-0.16740618453313044</v>
      </c>
      <c r="BP38">
        <f t="shared" si="23"/>
        <v>0.50221855359939127</v>
      </c>
      <c r="BQ38">
        <f t="shared" si="24"/>
        <v>0.96258556106549986</v>
      </c>
      <c r="BX38" s="17" t="s">
        <v>91</v>
      </c>
      <c r="BY38" s="1">
        <v>0.91439999999999999</v>
      </c>
      <c r="BZ38" s="17" t="s">
        <v>92</v>
      </c>
      <c r="CA38" s="1">
        <v>0.86359999999999992</v>
      </c>
    </row>
    <row r="39" spans="1:79" s="1" customFormat="1" ht="17" thickTop="1" x14ac:dyDescent="0.45">
      <c r="A39" s="2">
        <v>2528.1999999999998</v>
      </c>
      <c r="B39" s="3">
        <v>8.23</v>
      </c>
      <c r="C39" s="4">
        <v>2.92</v>
      </c>
      <c r="D39" s="5">
        <v>-0.19</v>
      </c>
      <c r="E39" s="6">
        <v>13.9</v>
      </c>
      <c r="F39" s="7">
        <v>13.9</v>
      </c>
      <c r="G39" s="8">
        <v>238</v>
      </c>
      <c r="H39" s="9">
        <v>246</v>
      </c>
      <c r="I39" s="7">
        <v>99.4</v>
      </c>
      <c r="J39" s="12">
        <v>0.02</v>
      </c>
      <c r="K39" s="10">
        <v>0.02</v>
      </c>
      <c r="L39" s="10">
        <v>0.02</v>
      </c>
      <c r="M39" s="10">
        <v>-0.3</v>
      </c>
      <c r="N39" s="10">
        <v>-0.1</v>
      </c>
      <c r="O39" s="10">
        <v>-0.38</v>
      </c>
      <c r="P39" s="10">
        <v>-0.11</v>
      </c>
      <c r="Q39" s="10">
        <v>-0.39</v>
      </c>
      <c r="R39" s="10">
        <v>-0.21</v>
      </c>
      <c r="S39" s="10">
        <v>-0.38</v>
      </c>
      <c r="T39" s="10">
        <v>-0.18</v>
      </c>
      <c r="U39" s="10">
        <v>-0.36</v>
      </c>
      <c r="V39" s="10">
        <v>-0.27</v>
      </c>
      <c r="W39" s="10">
        <v>-0.27</v>
      </c>
      <c r="X39" s="10">
        <v>-0.28999999999999998</v>
      </c>
      <c r="Y39" s="10">
        <v>-0.37</v>
      </c>
      <c r="Z39" s="10">
        <v>-0.31</v>
      </c>
      <c r="AA39" s="10">
        <v>-0.26</v>
      </c>
      <c r="AB39" s="10">
        <v>-0.1</v>
      </c>
      <c r="AC39" s="10">
        <v>0.01</v>
      </c>
      <c r="AD39" s="10">
        <v>0.02</v>
      </c>
      <c r="AE39" s="10">
        <v>0.01</v>
      </c>
      <c r="AF39" s="10">
        <v>0</v>
      </c>
      <c r="AG39" s="10">
        <v>0.02</v>
      </c>
      <c r="AH39" s="10">
        <v>0.02</v>
      </c>
      <c r="AI39" s="10">
        <v>0.02</v>
      </c>
      <c r="AJ39" s="10">
        <v>0.01</v>
      </c>
      <c r="AK39" s="10">
        <v>0.02</v>
      </c>
      <c r="AL39" s="10">
        <v>0.02</v>
      </c>
      <c r="AM39" s="10">
        <v>0.01</v>
      </c>
      <c r="AN39" s="10">
        <v>-0.22</v>
      </c>
      <c r="AO39" s="11">
        <v>0</v>
      </c>
      <c r="AP39" s="6">
        <v>22.8</v>
      </c>
      <c r="AQ39" s="10">
        <v>1.17</v>
      </c>
      <c r="AR39" s="10">
        <v>20.16</v>
      </c>
      <c r="AS39" s="11">
        <v>20.5</v>
      </c>
      <c r="AT39" s="23">
        <f t="shared" si="1"/>
        <v>2.8184931506849318</v>
      </c>
      <c r="AU39" s="22">
        <f t="shared" si="25"/>
        <v>0.76921970293516451</v>
      </c>
      <c r="AV39" s="23">
        <f t="shared" si="26"/>
        <v>0.27291877674005838</v>
      </c>
      <c r="AW39" s="22">
        <f t="shared" si="27"/>
        <v>-0.11838942370002532</v>
      </c>
      <c r="AX39">
        <f t="shared" si="5"/>
        <v>1.0094256126002159</v>
      </c>
      <c r="AY39">
        <f t="shared" si="6"/>
        <v>1.0094256126002159</v>
      </c>
      <c r="AZ39">
        <f t="shared" si="7"/>
        <v>1.0094256126002159</v>
      </c>
      <c r="BA39">
        <f t="shared" si="8"/>
        <v>-0.33647520420007188</v>
      </c>
      <c r="BB39">
        <v>0.58471280599999997</v>
      </c>
      <c r="BC39">
        <f t="shared" si="10"/>
        <v>-0.67295040840014386</v>
      </c>
      <c r="BD39">
        <f t="shared" si="11"/>
        <v>0.46265340577509889</v>
      </c>
      <c r="BE39">
        <f t="shared" si="12"/>
        <v>-0.71500980892515287</v>
      </c>
      <c r="BF39">
        <v>8.2059401000000004E-2</v>
      </c>
      <c r="BG39">
        <f t="shared" si="14"/>
        <v>-0.67295040840014386</v>
      </c>
      <c r="BH39">
        <v>-6.8237601999999994E-2</v>
      </c>
      <c r="BI39">
        <f t="shared" si="16"/>
        <v>-0.58883160735012574</v>
      </c>
      <c r="BJ39">
        <v>-0.110297003</v>
      </c>
      <c r="BK39">
        <v>-0.55029700299999995</v>
      </c>
      <c r="BL39">
        <v>-0.124415804</v>
      </c>
      <c r="BM39">
        <v>-0.50089100799999997</v>
      </c>
      <c r="BN39">
        <v>6.8534604999999998E-2</v>
      </c>
      <c r="BO39">
        <v>-0.37823760200000001</v>
      </c>
      <c r="BP39">
        <v>0.50471280600000001</v>
      </c>
      <c r="BQ39">
        <v>0.15736621200000001</v>
      </c>
    </row>
    <row r="40" spans="1:79" s="1" customFormat="1" ht="16.5" x14ac:dyDescent="0.45">
      <c r="A40" s="2">
        <v>2759.6</v>
      </c>
      <c r="B40" s="3">
        <v>7.8</v>
      </c>
      <c r="C40" s="4">
        <v>3.07</v>
      </c>
      <c r="D40" s="5">
        <v>-0.19</v>
      </c>
      <c r="E40" s="6">
        <v>15.1</v>
      </c>
      <c r="F40" s="7">
        <v>15.1</v>
      </c>
      <c r="G40" s="8">
        <v>237</v>
      </c>
      <c r="H40" s="9">
        <v>252</v>
      </c>
      <c r="I40" s="7">
        <v>99.4</v>
      </c>
      <c r="J40" s="12">
        <v>0.02</v>
      </c>
      <c r="K40" s="10">
        <v>0.02</v>
      </c>
      <c r="L40" s="10">
        <v>0.02</v>
      </c>
      <c r="M40" s="10">
        <v>-0.3</v>
      </c>
      <c r="N40" s="10">
        <v>-0.1</v>
      </c>
      <c r="O40" s="10">
        <v>-0.38</v>
      </c>
      <c r="P40" s="10">
        <v>-0.11</v>
      </c>
      <c r="Q40" s="10">
        <v>-0.39</v>
      </c>
      <c r="R40" s="10">
        <v>-0.21</v>
      </c>
      <c r="S40" s="10">
        <v>-0.38</v>
      </c>
      <c r="T40" s="10">
        <v>-0.18</v>
      </c>
      <c r="U40" s="10">
        <v>-0.37</v>
      </c>
      <c r="V40" s="10">
        <v>-0.27</v>
      </c>
      <c r="W40" s="10">
        <v>-0.27</v>
      </c>
      <c r="X40" s="10">
        <v>-0.28999999999999998</v>
      </c>
      <c r="Y40" s="10">
        <v>-0.37</v>
      </c>
      <c r="Z40" s="10">
        <v>-0.32</v>
      </c>
      <c r="AA40" s="10">
        <v>-0.26</v>
      </c>
      <c r="AB40" s="10">
        <v>-0.11</v>
      </c>
      <c r="AC40" s="10">
        <v>0.01</v>
      </c>
      <c r="AD40" s="10">
        <v>0.02</v>
      </c>
      <c r="AE40" s="10">
        <v>0.01</v>
      </c>
      <c r="AF40" s="10">
        <v>0</v>
      </c>
      <c r="AG40" s="10">
        <v>0.02</v>
      </c>
      <c r="AH40" s="10">
        <v>0.02</v>
      </c>
      <c r="AI40" s="10">
        <v>0.02</v>
      </c>
      <c r="AJ40" s="10">
        <v>0</v>
      </c>
      <c r="AK40" s="10">
        <v>0.02</v>
      </c>
      <c r="AL40" s="10">
        <v>0.02</v>
      </c>
      <c r="AM40" s="10">
        <v>0.01</v>
      </c>
      <c r="AN40" s="10">
        <v>-0.22</v>
      </c>
      <c r="AO40" s="11">
        <v>0</v>
      </c>
      <c r="AP40" s="6">
        <v>22.8</v>
      </c>
      <c r="AQ40" s="10">
        <v>1.17</v>
      </c>
      <c r="AR40" s="10">
        <v>20.12</v>
      </c>
      <c r="AS40" s="11">
        <v>20.75</v>
      </c>
      <c r="AT40" s="23">
        <f t="shared" si="1"/>
        <v>2.5407166123778504</v>
      </c>
      <c r="AU40" s="22">
        <f t="shared" si="25"/>
        <v>0.73193121661753213</v>
      </c>
      <c r="AV40" s="23">
        <f t="shared" si="26"/>
        <v>0.28808061987382355</v>
      </c>
      <c r="AW40" s="22">
        <f t="shared" si="27"/>
        <v>-0.11886062492079583</v>
      </c>
      <c r="AX40">
        <f t="shared" si="5"/>
        <v>1.0134432230088906</v>
      </c>
      <c r="AY40">
        <f t="shared" si="6"/>
        <v>1.0134432230088906</v>
      </c>
      <c r="AZ40">
        <f t="shared" si="7"/>
        <v>1.0134432230088906</v>
      </c>
      <c r="BA40">
        <f t="shared" si="8"/>
        <v>-0.33781440766963011</v>
      </c>
      <c r="BB40">
        <f t="shared" si="9"/>
        <v>0.50672161150444528</v>
      </c>
      <c r="BC40">
        <f t="shared" si="10"/>
        <v>-0.67562881533926034</v>
      </c>
      <c r="BD40">
        <f t="shared" si="11"/>
        <v>0.46449481054574154</v>
      </c>
      <c r="BE40">
        <f t="shared" si="12"/>
        <v>-0.71785561629796413</v>
      </c>
      <c r="BF40">
        <f t="shared" si="13"/>
        <v>4.2226800958703813E-2</v>
      </c>
      <c r="BG40">
        <f t="shared" si="14"/>
        <v>-0.67562881533926034</v>
      </c>
      <c r="BH40">
        <f t="shared" si="15"/>
        <v>0.16890720383481514</v>
      </c>
      <c r="BI40">
        <f t="shared" si="16"/>
        <v>-0.63340201438055665</v>
      </c>
      <c r="BJ40">
        <f t="shared" si="17"/>
        <v>-0.21113400479351893</v>
      </c>
      <c r="BK40">
        <f t="shared" si="18"/>
        <v>-0.21113400479351893</v>
      </c>
      <c r="BL40">
        <f t="shared" si="19"/>
        <v>-0.29558760671092638</v>
      </c>
      <c r="BM40">
        <f t="shared" si="20"/>
        <v>-0.63340201438055665</v>
      </c>
      <c r="BN40">
        <f t="shared" si="21"/>
        <v>-0.42226800958703775</v>
      </c>
      <c r="BO40">
        <f t="shared" si="22"/>
        <v>-0.16890720383481514</v>
      </c>
      <c r="BP40">
        <f t="shared" si="23"/>
        <v>0.46449481054574154</v>
      </c>
      <c r="BQ40">
        <f t="shared" si="24"/>
        <v>0.97121642205018677</v>
      </c>
    </row>
    <row r="41" spans="1:79" s="1" customFormat="1" ht="16.5" x14ac:dyDescent="0.45">
      <c r="A41" s="2">
        <v>2975.6</v>
      </c>
      <c r="B41" s="3">
        <v>7.5</v>
      </c>
      <c r="C41" s="4">
        <v>3.32</v>
      </c>
      <c r="D41" s="5">
        <v>-0.18</v>
      </c>
      <c r="E41" s="6">
        <v>16</v>
      </c>
      <c r="F41" s="7">
        <v>16</v>
      </c>
      <c r="G41" s="8">
        <v>235</v>
      </c>
      <c r="H41" s="9">
        <v>254</v>
      </c>
      <c r="I41" s="7">
        <v>99.4</v>
      </c>
      <c r="J41" s="12">
        <v>0.02</v>
      </c>
      <c r="K41" s="10">
        <v>0.02</v>
      </c>
      <c r="L41" s="10">
        <v>0.02</v>
      </c>
      <c r="M41" s="10">
        <v>-0.3</v>
      </c>
      <c r="N41" s="10">
        <v>-0.1</v>
      </c>
      <c r="O41" s="10">
        <v>-0.38</v>
      </c>
      <c r="P41" s="10">
        <v>-0.1</v>
      </c>
      <c r="Q41" s="10">
        <v>-0.39</v>
      </c>
      <c r="R41" s="10">
        <v>-0.21</v>
      </c>
      <c r="S41" s="10">
        <v>-0.38</v>
      </c>
      <c r="T41" s="10">
        <v>-0.18</v>
      </c>
      <c r="U41" s="10">
        <v>-0.37</v>
      </c>
      <c r="V41" s="10">
        <v>-0.28000000000000003</v>
      </c>
      <c r="W41" s="10">
        <v>-0.27</v>
      </c>
      <c r="X41" s="10">
        <v>-0.28999999999999998</v>
      </c>
      <c r="Y41" s="10">
        <v>-0.38</v>
      </c>
      <c r="Z41" s="10">
        <v>-0.32</v>
      </c>
      <c r="AA41" s="10">
        <v>-0.26</v>
      </c>
      <c r="AB41" s="10">
        <v>-0.11</v>
      </c>
      <c r="AC41" s="10">
        <v>0.01</v>
      </c>
      <c r="AD41" s="10">
        <v>0.02</v>
      </c>
      <c r="AE41" s="10">
        <v>0.01</v>
      </c>
      <c r="AF41" s="10">
        <v>0</v>
      </c>
      <c r="AG41" s="10">
        <v>0.02</v>
      </c>
      <c r="AH41" s="10">
        <v>0.02</v>
      </c>
      <c r="AI41" s="10">
        <v>0.02</v>
      </c>
      <c r="AJ41" s="10">
        <v>0</v>
      </c>
      <c r="AK41" s="10">
        <v>0.02</v>
      </c>
      <c r="AL41" s="10">
        <v>0.02</v>
      </c>
      <c r="AM41" s="10">
        <v>0.01</v>
      </c>
      <c r="AN41" s="10">
        <v>-0.22</v>
      </c>
      <c r="AO41" s="11">
        <v>0</v>
      </c>
      <c r="AP41" s="6">
        <v>22.8</v>
      </c>
      <c r="AQ41" s="10">
        <v>1.17</v>
      </c>
      <c r="AR41" s="10">
        <v>20.04</v>
      </c>
      <c r="AS41" s="11">
        <v>20.83</v>
      </c>
      <c r="AT41" s="23">
        <f t="shared" si="1"/>
        <v>2.2590361445783134</v>
      </c>
      <c r="AU41" s="22">
        <f t="shared" si="25"/>
        <v>0.70941023367507738</v>
      </c>
      <c r="AV41" s="23">
        <f t="shared" si="26"/>
        <v>0.31403226344016755</v>
      </c>
      <c r="AW41" s="22">
        <f t="shared" si="27"/>
        <v>-0.11350563738801238</v>
      </c>
      <c r="AX41">
        <f t="shared" si="5"/>
        <v>1.0215507364921113</v>
      </c>
      <c r="AY41">
        <f t="shared" si="6"/>
        <v>1.0215507364921113</v>
      </c>
      <c r="AZ41">
        <f t="shared" si="7"/>
        <v>1.0215507364921113</v>
      </c>
      <c r="BA41">
        <f t="shared" si="8"/>
        <v>-0.34051691216403707</v>
      </c>
      <c r="BB41">
        <f t="shared" si="9"/>
        <v>0.51077536824605563</v>
      </c>
      <c r="BC41">
        <f t="shared" si="10"/>
        <v>-0.68103382432807424</v>
      </c>
      <c r="BD41">
        <f t="shared" si="11"/>
        <v>0.51077536824605563</v>
      </c>
      <c r="BE41">
        <f t="shared" si="12"/>
        <v>-0.72359843834857884</v>
      </c>
      <c r="BF41">
        <f t="shared" si="13"/>
        <v>4.2564614020504675E-2</v>
      </c>
      <c r="BG41">
        <f t="shared" si="14"/>
        <v>-0.68103382432807424</v>
      </c>
      <c r="BH41">
        <f t="shared" si="15"/>
        <v>0.17025845608201859</v>
      </c>
      <c r="BI41">
        <f t="shared" si="16"/>
        <v>-0.63846921030756953</v>
      </c>
      <c r="BJ41">
        <f t="shared" si="17"/>
        <v>-0.25538768412302798</v>
      </c>
      <c r="BK41">
        <f t="shared" si="18"/>
        <v>-0.21282307010252324</v>
      </c>
      <c r="BL41">
        <f t="shared" si="19"/>
        <v>-0.29795229814353241</v>
      </c>
      <c r="BM41">
        <f t="shared" si="20"/>
        <v>-0.68103382432807424</v>
      </c>
      <c r="BN41">
        <f t="shared" si="21"/>
        <v>-0.42564614020504637</v>
      </c>
      <c r="BO41">
        <f t="shared" si="22"/>
        <v>-0.17025845608201859</v>
      </c>
      <c r="BP41">
        <f t="shared" si="23"/>
        <v>0.46821075422555103</v>
      </c>
      <c r="BQ41">
        <f t="shared" si="24"/>
        <v>0.97898612247160666</v>
      </c>
    </row>
    <row r="42" spans="1:79" ht="14.5" x14ac:dyDescent="0.35">
      <c r="A42" s="25" t="s">
        <v>103</v>
      </c>
      <c r="B42" s="25">
        <f>(B22*20*B23)/B24</f>
        <v>193922.65193370162</v>
      </c>
      <c r="AU42"/>
      <c r="AV42"/>
      <c r="AW42"/>
    </row>
    <row r="43" spans="1:79" ht="14.5" x14ac:dyDescent="0.35">
      <c r="AU43"/>
      <c r="AV43"/>
      <c r="AW43"/>
    </row>
    <row r="44" spans="1:79" ht="14.5" x14ac:dyDescent="0.35">
      <c r="AU44"/>
      <c r="AV44"/>
      <c r="AW44"/>
    </row>
    <row r="45" spans="1:79" ht="20" thickBot="1" x14ac:dyDescent="0.5">
      <c r="A45" s="14" t="s">
        <v>63</v>
      </c>
      <c r="AT45" s="26" t="s">
        <v>98</v>
      </c>
      <c r="AU45" s="27" t="s">
        <v>69</v>
      </c>
      <c r="AV45" s="28" t="s">
        <v>70</v>
      </c>
      <c r="AW45" s="27" t="s">
        <v>71</v>
      </c>
    </row>
    <row r="46" spans="1:79" s="1" customFormat="1" ht="17" thickTop="1" x14ac:dyDescent="0.45">
      <c r="A46" s="2">
        <v>49.7</v>
      </c>
      <c r="B46" s="3">
        <v>-11.12</v>
      </c>
      <c r="C46" s="4">
        <v>0.57999999999999996</v>
      </c>
      <c r="D46" s="5">
        <v>0.06</v>
      </c>
      <c r="E46" s="6">
        <v>355.8</v>
      </c>
      <c r="F46" s="7">
        <v>-4.2</v>
      </c>
      <c r="G46" s="8">
        <v>370</v>
      </c>
      <c r="H46" s="9">
        <v>366</v>
      </c>
      <c r="I46" s="7">
        <v>99.4</v>
      </c>
      <c r="J46" s="12">
        <v>0</v>
      </c>
      <c r="K46" s="10">
        <v>0.03</v>
      </c>
      <c r="L46" s="10">
        <v>-0.06</v>
      </c>
      <c r="M46" s="10">
        <v>-0.19</v>
      </c>
      <c r="N46" s="10">
        <v>-0.79</v>
      </c>
      <c r="O46" s="10">
        <v>-0.33</v>
      </c>
      <c r="P46" s="10">
        <v>-0.56999999999999995</v>
      </c>
      <c r="Q46" s="10">
        <v>-0.37</v>
      </c>
      <c r="R46" s="10">
        <v>-0.64</v>
      </c>
      <c r="S46" s="10">
        <v>-0.43</v>
      </c>
      <c r="T46" s="10">
        <v>-0.41</v>
      </c>
      <c r="U46" s="10">
        <v>-0.38</v>
      </c>
      <c r="V46" s="10">
        <v>-0.51</v>
      </c>
      <c r="W46" s="10">
        <v>-0.35</v>
      </c>
      <c r="X46" s="10">
        <v>-0.47</v>
      </c>
      <c r="Y46" s="10">
        <v>-0.37</v>
      </c>
      <c r="Z46" s="10">
        <v>-0.43</v>
      </c>
      <c r="AA46" s="10">
        <v>-0.24</v>
      </c>
      <c r="AB46" s="10">
        <v>-0.13</v>
      </c>
      <c r="AC46" s="10">
        <v>0.01</v>
      </c>
      <c r="AD46" s="10">
        <v>0.02</v>
      </c>
      <c r="AE46" s="10">
        <v>0.02</v>
      </c>
      <c r="AF46" s="10">
        <v>0</v>
      </c>
      <c r="AG46" s="10">
        <v>0.02</v>
      </c>
      <c r="AH46" s="10">
        <v>0.02</v>
      </c>
      <c r="AI46" s="10">
        <v>0.02</v>
      </c>
      <c r="AJ46" s="10">
        <v>0.01</v>
      </c>
      <c r="AK46" s="10">
        <v>0.02</v>
      </c>
      <c r="AL46" s="10">
        <v>0.02</v>
      </c>
      <c r="AM46" s="10">
        <v>0.01</v>
      </c>
      <c r="AN46" s="10">
        <v>-0.36</v>
      </c>
      <c r="AO46" s="11">
        <v>0</v>
      </c>
      <c r="AP46" s="6">
        <v>22.8</v>
      </c>
      <c r="AQ46" s="10">
        <v>1.17</v>
      </c>
      <c r="AR46" s="10">
        <v>25.14</v>
      </c>
      <c r="AS46" s="11">
        <v>25</v>
      </c>
      <c r="AT46" s="23">
        <f t="shared" si="1"/>
        <v>-19.172413793103448</v>
      </c>
      <c r="AU46" s="22">
        <f>B46/(0.5*AQ46*(AR46^2)*0.15*0.3)</f>
        <v>-0.66835293675305163</v>
      </c>
      <c r="AV46" s="23">
        <f>C46/(0.5*AQ46*(AR46^2)*0.15*0.3)</f>
        <v>3.4860135190357008E-2</v>
      </c>
      <c r="AW46" s="22">
        <f>D46/(0.5*AQ46*(AR46^2)*0.15*0.3*0.15)</f>
        <v>2.4041472545073803E-2</v>
      </c>
      <c r="AX46">
        <f t="shared" si="5"/>
        <v>0.97367963807548907</v>
      </c>
      <c r="AY46">
        <f t="shared" si="6"/>
        <v>1.0548196079151131</v>
      </c>
      <c r="AZ46">
        <f t="shared" si="7"/>
        <v>0.81139969839624093</v>
      </c>
      <c r="BA46">
        <f t="shared" si="8"/>
        <v>0.45979316242453644</v>
      </c>
      <c r="BB46">
        <f t="shared" si="9"/>
        <v>-1.1630062343679455</v>
      </c>
      <c r="BC46">
        <f t="shared" si="10"/>
        <v>8.1139969839624015E-2</v>
      </c>
      <c r="BD46">
        <f t="shared" si="11"/>
        <v>-0.56797978887736855</v>
      </c>
      <c r="BE46">
        <f t="shared" si="12"/>
        <v>-2.7046656613208053E-2</v>
      </c>
      <c r="BF46">
        <f t="shared" si="13"/>
        <v>-0.75730638516982485</v>
      </c>
      <c r="BG46">
        <f t="shared" si="14"/>
        <v>-0.18932659629245621</v>
      </c>
      <c r="BH46">
        <f t="shared" si="15"/>
        <v>-0.1352332830660401</v>
      </c>
      <c r="BI46">
        <f t="shared" si="16"/>
        <v>-5.4093313226416105E-2</v>
      </c>
      <c r="BJ46">
        <f t="shared" si="17"/>
        <v>-0.40569984919812052</v>
      </c>
      <c r="BK46">
        <f t="shared" si="18"/>
        <v>2.7046656613208053E-2</v>
      </c>
      <c r="BL46">
        <f t="shared" si="19"/>
        <v>-0.2975132227452883</v>
      </c>
      <c r="BM46">
        <f t="shared" si="20"/>
        <v>-2.7046656613208053E-2</v>
      </c>
      <c r="BN46">
        <f t="shared" si="21"/>
        <v>-0.18932659629245621</v>
      </c>
      <c r="BO46">
        <f t="shared" si="22"/>
        <v>0.32455987935849634</v>
      </c>
      <c r="BP46">
        <f t="shared" si="23"/>
        <v>0.62207310210378464</v>
      </c>
      <c r="BQ46">
        <f t="shared" si="24"/>
        <v>1.000726294688697</v>
      </c>
    </row>
    <row r="47" spans="1:79" s="1" customFormat="1" ht="16.5" x14ac:dyDescent="0.45">
      <c r="A47" s="2">
        <v>252.5</v>
      </c>
      <c r="B47" s="3">
        <v>-4.78</v>
      </c>
      <c r="C47" s="4">
        <v>0.42</v>
      </c>
      <c r="D47" s="5">
        <v>0.03</v>
      </c>
      <c r="E47" s="6">
        <v>358.1</v>
      </c>
      <c r="F47" s="7">
        <v>-1.9</v>
      </c>
      <c r="G47" s="8">
        <v>369</v>
      </c>
      <c r="H47" s="9">
        <v>366</v>
      </c>
      <c r="I47" s="7">
        <v>99.4</v>
      </c>
      <c r="J47" s="12">
        <v>0.01</v>
      </c>
      <c r="K47" s="10">
        <v>0.03</v>
      </c>
      <c r="L47" s="10">
        <v>-0.03</v>
      </c>
      <c r="M47" s="10">
        <v>-0.25</v>
      </c>
      <c r="N47" s="10">
        <v>-0.66</v>
      </c>
      <c r="O47" s="10">
        <v>-0.4</v>
      </c>
      <c r="P47" s="10">
        <v>-0.49</v>
      </c>
      <c r="Q47" s="10">
        <v>-0.44</v>
      </c>
      <c r="R47" s="10">
        <v>-0.57999999999999996</v>
      </c>
      <c r="S47" s="10">
        <v>-0.41</v>
      </c>
      <c r="T47" s="10">
        <v>-0.4</v>
      </c>
      <c r="U47" s="10">
        <v>-0.41</v>
      </c>
      <c r="V47" s="10">
        <v>-0.51</v>
      </c>
      <c r="W47" s="10">
        <v>-0.37</v>
      </c>
      <c r="X47" s="10">
        <v>-0.45</v>
      </c>
      <c r="Y47" s="10">
        <v>-0.39</v>
      </c>
      <c r="Z47" s="10">
        <v>-0.41</v>
      </c>
      <c r="AA47" s="10">
        <v>-0.26</v>
      </c>
      <c r="AB47" s="10">
        <v>-0.13</v>
      </c>
      <c r="AC47" s="10">
        <v>0.02</v>
      </c>
      <c r="AD47" s="10">
        <v>0.02</v>
      </c>
      <c r="AE47" s="10">
        <v>0.02</v>
      </c>
      <c r="AF47" s="10">
        <v>0</v>
      </c>
      <c r="AG47" s="10">
        <v>0.02</v>
      </c>
      <c r="AH47" s="10">
        <v>0.02</v>
      </c>
      <c r="AI47" s="10">
        <v>0.02</v>
      </c>
      <c r="AJ47" s="10">
        <v>0.01</v>
      </c>
      <c r="AK47" s="10">
        <v>0.02</v>
      </c>
      <c r="AL47" s="10">
        <v>0.02</v>
      </c>
      <c r="AM47" s="10">
        <v>0.02</v>
      </c>
      <c r="AN47" s="10">
        <v>-0.36</v>
      </c>
      <c r="AO47" s="11">
        <v>0</v>
      </c>
      <c r="AP47" s="6">
        <v>22.8</v>
      </c>
      <c r="AQ47" s="10">
        <v>1.17</v>
      </c>
      <c r="AR47" s="10">
        <v>25.11</v>
      </c>
      <c r="AS47" s="11">
        <v>25</v>
      </c>
      <c r="AT47" s="23">
        <f t="shared" si="1"/>
        <v>-11.380952380952381</v>
      </c>
      <c r="AU47" s="22">
        <f t="shared" ref="AU47:AU59" si="28">B47/(0.5*AQ47*(AR47^2)*0.15*0.3)</f>
        <v>-0.2879824958840837</v>
      </c>
      <c r="AV47" s="23">
        <f t="shared" ref="AV47:AV59" si="29">C47/(0.5*AQ47*(AR47^2)*0.15*0.3)</f>
        <v>2.5303901311990614E-2</v>
      </c>
      <c r="AW47" s="22">
        <f t="shared" ref="AW47:AW59" si="30">D47/(0.5*AQ47*(AR47^2)*0.15*0.3*0.15)</f>
        <v>1.2049476815233625E-2</v>
      </c>
      <c r="AX47">
        <f t="shared" si="5"/>
        <v>1.0031189448681992</v>
      </c>
      <c r="AY47">
        <f t="shared" si="6"/>
        <v>1.0573415905367507</v>
      </c>
      <c r="AZ47">
        <f t="shared" si="7"/>
        <v>0.89467365353109651</v>
      </c>
      <c r="BA47">
        <f t="shared" si="8"/>
        <v>0.29822455117703217</v>
      </c>
      <c r="BB47">
        <f t="shared" si="9"/>
        <v>-0.81333968502826981</v>
      </c>
      <c r="BC47">
        <f t="shared" si="10"/>
        <v>-0.10844529133710272</v>
      </c>
      <c r="BD47">
        <v>-0.71244719700000003</v>
      </c>
      <c r="BE47">
        <f t="shared" si="12"/>
        <v>-0.2168905826742053</v>
      </c>
      <c r="BF47">
        <f t="shared" si="13"/>
        <v>-0.59644910235406434</v>
      </c>
      <c r="BG47">
        <f t="shared" si="14"/>
        <v>-0.13555661417137824</v>
      </c>
      <c r="BH47">
        <v>-0.52844529100000004</v>
      </c>
      <c r="BI47">
        <f t="shared" si="16"/>
        <v>-0.13555661417137824</v>
      </c>
      <c r="BJ47">
        <f t="shared" si="17"/>
        <v>-0.4066698425141349</v>
      </c>
      <c r="BK47">
        <f t="shared" si="18"/>
        <v>-2.711132283427568E-2</v>
      </c>
      <c r="BL47">
        <f t="shared" si="19"/>
        <v>-0.244001905508481</v>
      </c>
      <c r="BM47">
        <v>-4.1333968999999998E-2</v>
      </c>
      <c r="BN47">
        <v>-9.5556613999999998E-2</v>
      </c>
      <c r="BO47">
        <f t="shared" si="22"/>
        <v>0.27111322834275647</v>
      </c>
      <c r="BP47">
        <f t="shared" si="23"/>
        <v>0.62356042518833998</v>
      </c>
      <c r="BQ47">
        <v>0.70023026799999999</v>
      </c>
    </row>
    <row r="48" spans="1:79" s="1" customFormat="1" ht="16.5" x14ac:dyDescent="0.45">
      <c r="A48" s="2">
        <v>69.099999999999994</v>
      </c>
      <c r="B48" s="3">
        <v>2.21</v>
      </c>
      <c r="C48" s="4">
        <v>0.3</v>
      </c>
      <c r="D48" s="5">
        <v>3.5000000000000003E-2</v>
      </c>
      <c r="E48" s="6">
        <v>0.4</v>
      </c>
      <c r="F48" s="7">
        <v>0.4</v>
      </c>
      <c r="G48" s="8">
        <v>367</v>
      </c>
      <c r="H48" s="9">
        <v>364</v>
      </c>
      <c r="I48" s="7">
        <v>99.4</v>
      </c>
      <c r="J48" s="12">
        <v>0.02</v>
      </c>
      <c r="K48" s="10">
        <v>0.03</v>
      </c>
      <c r="L48" s="10">
        <v>-0.01</v>
      </c>
      <c r="M48" s="10">
        <v>-0.38</v>
      </c>
      <c r="N48" s="10">
        <v>-0.52</v>
      </c>
      <c r="O48" s="10">
        <v>-0.5</v>
      </c>
      <c r="P48" s="10">
        <v>-0.4</v>
      </c>
      <c r="Q48" s="10">
        <v>-0.52</v>
      </c>
      <c r="R48" s="10">
        <v>-0.52</v>
      </c>
      <c r="S48" s="10">
        <v>-0.41</v>
      </c>
      <c r="T48" s="10">
        <v>-0.36</v>
      </c>
      <c r="U48" s="10">
        <v>-0.45</v>
      </c>
      <c r="V48" s="10">
        <v>-0.46</v>
      </c>
      <c r="W48" s="10">
        <v>-0.39</v>
      </c>
      <c r="X48" s="10">
        <v>-0.43</v>
      </c>
      <c r="Y48" s="10">
        <v>-0.42</v>
      </c>
      <c r="Z48" s="10">
        <v>-0.42</v>
      </c>
      <c r="AA48" s="10">
        <v>-0.28000000000000003</v>
      </c>
      <c r="AB48" s="10">
        <v>-0.11</v>
      </c>
      <c r="AC48" s="10">
        <v>0.01</v>
      </c>
      <c r="AD48" s="10">
        <v>0.02</v>
      </c>
      <c r="AE48" s="10">
        <v>0.01</v>
      </c>
      <c r="AF48" s="10">
        <v>0</v>
      </c>
      <c r="AG48" s="10">
        <v>0.02</v>
      </c>
      <c r="AH48" s="10">
        <v>0.02</v>
      </c>
      <c r="AI48" s="10">
        <v>0.02</v>
      </c>
      <c r="AJ48" s="10">
        <v>0.01</v>
      </c>
      <c r="AK48" s="10">
        <v>0.02</v>
      </c>
      <c r="AL48" s="10">
        <v>0.02</v>
      </c>
      <c r="AM48" s="10">
        <v>0.01</v>
      </c>
      <c r="AN48" s="10">
        <v>-0.36</v>
      </c>
      <c r="AO48" s="11">
        <v>0</v>
      </c>
      <c r="AP48" s="6">
        <v>22.8</v>
      </c>
      <c r="AQ48" s="10">
        <v>1.17</v>
      </c>
      <c r="AR48" s="10">
        <v>25.04</v>
      </c>
      <c r="AS48" s="11">
        <v>24.94</v>
      </c>
      <c r="AT48" s="23">
        <f t="shared" si="1"/>
        <v>7.3666666666666671</v>
      </c>
      <c r="AU48" s="22">
        <f t="shared" si="28"/>
        <v>0.1338921898826903</v>
      </c>
      <c r="AV48" s="23">
        <f t="shared" si="29"/>
        <v>1.8175410391315427E-2</v>
      </c>
      <c r="AW48" s="22">
        <f t="shared" si="30"/>
        <v>1.4136430304356445E-2</v>
      </c>
      <c r="AX48">
        <f t="shared" si="5"/>
        <v>1.0359983923049794</v>
      </c>
      <c r="AY48">
        <f t="shared" si="6"/>
        <v>1.0632615078919525</v>
      </c>
      <c r="AZ48">
        <f t="shared" si="7"/>
        <v>0.95420904554405983</v>
      </c>
      <c r="BA48">
        <f t="shared" si="8"/>
        <v>-5.4526231173946324E-2</v>
      </c>
      <c r="BB48">
        <v>-0.15620984900000001</v>
      </c>
      <c r="BC48">
        <f t="shared" si="10"/>
        <v>-0.38168361821762398</v>
      </c>
      <c r="BD48">
        <v>-0.36905246200000003</v>
      </c>
      <c r="BE48">
        <f t="shared" si="12"/>
        <v>-0.43620984939157031</v>
      </c>
      <c r="BF48">
        <v>-0.396209849</v>
      </c>
      <c r="BG48">
        <v>-0.42631557799999997</v>
      </c>
      <c r="BH48">
        <v>-0.32324160000000002</v>
      </c>
      <c r="BI48">
        <v>-0.37536804000000001</v>
      </c>
      <c r="BJ48">
        <f t="shared" si="17"/>
        <v>-0.27263115586973147</v>
      </c>
      <c r="BK48">
        <v>-0.321789347</v>
      </c>
      <c r="BL48">
        <v>-0.17084180900000001</v>
      </c>
      <c r="BM48">
        <v>-0.22357869399999999</v>
      </c>
      <c r="BN48">
        <v>0.133578694</v>
      </c>
      <c r="BO48">
        <v>-0.108104925</v>
      </c>
      <c r="BP48">
        <f t="shared" si="23"/>
        <v>0.68157788967432853</v>
      </c>
      <c r="BQ48">
        <v>0.40873527700000001</v>
      </c>
    </row>
    <row r="49" spans="1:126" s="1" customFormat="1" ht="16.5" x14ac:dyDescent="0.45">
      <c r="A49" s="2">
        <v>499.2</v>
      </c>
      <c r="B49" s="3">
        <v>6.01</v>
      </c>
      <c r="C49" s="4">
        <v>0.42</v>
      </c>
      <c r="D49" s="5">
        <v>0.02</v>
      </c>
      <c r="E49" s="6">
        <v>2.1</v>
      </c>
      <c r="F49" s="7">
        <v>2.1</v>
      </c>
      <c r="G49" s="8">
        <v>369</v>
      </c>
      <c r="H49" s="9">
        <v>362</v>
      </c>
      <c r="I49" s="7">
        <v>99.4</v>
      </c>
      <c r="J49" s="12">
        <v>0.02</v>
      </c>
      <c r="K49" s="10">
        <v>0.02</v>
      </c>
      <c r="L49" s="10">
        <v>0</v>
      </c>
      <c r="M49" s="10">
        <v>-0.54</v>
      </c>
      <c r="N49" s="10">
        <v>-0.41</v>
      </c>
      <c r="O49" s="10">
        <v>-0.62</v>
      </c>
      <c r="P49" s="10">
        <v>-0.34</v>
      </c>
      <c r="Q49" s="10">
        <v>-0.62</v>
      </c>
      <c r="R49" s="10">
        <v>-0.47</v>
      </c>
      <c r="S49" s="10">
        <v>-0.4</v>
      </c>
      <c r="T49" s="10">
        <v>-0.33</v>
      </c>
      <c r="U49" s="10">
        <v>-0.5</v>
      </c>
      <c r="V49" s="10">
        <v>-0.44</v>
      </c>
      <c r="W49" s="10">
        <v>-0.41</v>
      </c>
      <c r="X49" s="10">
        <v>-0.42</v>
      </c>
      <c r="Y49" s="10">
        <v>-0.44</v>
      </c>
      <c r="Z49" s="10">
        <v>-0.4</v>
      </c>
      <c r="AA49" s="10">
        <v>-0.28000000000000003</v>
      </c>
      <c r="AB49" s="10">
        <v>-0.13</v>
      </c>
      <c r="AC49" s="10">
        <v>0.02</v>
      </c>
      <c r="AD49" s="10">
        <v>0.02</v>
      </c>
      <c r="AE49" s="10">
        <v>0.01</v>
      </c>
      <c r="AF49" s="10">
        <v>0</v>
      </c>
      <c r="AG49" s="10">
        <v>0.03</v>
      </c>
      <c r="AH49" s="10">
        <v>0.02</v>
      </c>
      <c r="AI49" s="10">
        <v>0.02</v>
      </c>
      <c r="AJ49" s="10">
        <v>0.01</v>
      </c>
      <c r="AK49" s="10">
        <v>0.02</v>
      </c>
      <c r="AL49" s="10">
        <v>0.02</v>
      </c>
      <c r="AM49" s="10">
        <v>0.02</v>
      </c>
      <c r="AN49" s="10">
        <v>-0.35</v>
      </c>
      <c r="AO49" s="11">
        <v>0</v>
      </c>
      <c r="AP49" s="6">
        <v>22.8</v>
      </c>
      <c r="AQ49" s="10">
        <v>1.17</v>
      </c>
      <c r="AR49" s="10">
        <v>25.11</v>
      </c>
      <c r="AS49" s="11">
        <v>24.87</v>
      </c>
      <c r="AT49" s="23">
        <f t="shared" si="1"/>
        <v>14.30952380952381</v>
      </c>
      <c r="AU49" s="22">
        <f t="shared" si="28"/>
        <v>0.36208677829777047</v>
      </c>
      <c r="AV49" s="23">
        <f t="shared" si="29"/>
        <v>2.5303901311990614E-2</v>
      </c>
      <c r="AW49" s="22">
        <f t="shared" si="30"/>
        <v>8.0329845434890836E-3</v>
      </c>
      <c r="AX49">
        <f t="shared" si="5"/>
        <v>1.0031189448681992</v>
      </c>
      <c r="AY49">
        <f t="shared" si="6"/>
        <v>1.0031189448681992</v>
      </c>
      <c r="AZ49">
        <f t="shared" si="7"/>
        <v>0.94889629919964802</v>
      </c>
      <c r="BA49">
        <f t="shared" si="8"/>
        <v>-0.51511513385123764</v>
      </c>
      <c r="BB49">
        <f t="shared" si="9"/>
        <v>-0.16266793700565393</v>
      </c>
      <c r="BC49">
        <f t="shared" si="10"/>
        <v>-0.73200571652544277</v>
      </c>
      <c r="BD49">
        <f t="shared" si="11"/>
        <v>2.7111322834275531E-2</v>
      </c>
      <c r="BE49">
        <f t="shared" si="12"/>
        <v>-0.73200571652544277</v>
      </c>
      <c r="BF49">
        <f t="shared" si="13"/>
        <v>-0.32533587401130787</v>
      </c>
      <c r="BG49">
        <f t="shared" si="14"/>
        <v>-0.1355566141713784</v>
      </c>
      <c r="BH49">
        <f t="shared" si="15"/>
        <v>5.4222645668551207E-2</v>
      </c>
      <c r="BI49">
        <f t="shared" si="16"/>
        <v>-0.4066698425141349</v>
      </c>
      <c r="BJ49">
        <f t="shared" si="17"/>
        <v>-0.244001905508481</v>
      </c>
      <c r="BK49">
        <f t="shared" si="18"/>
        <v>-0.16266793700565393</v>
      </c>
      <c r="BL49">
        <f t="shared" si="19"/>
        <v>-0.1897792598399296</v>
      </c>
      <c r="BM49">
        <f t="shared" si="20"/>
        <v>-0.244001905508481</v>
      </c>
      <c r="BN49">
        <f t="shared" si="21"/>
        <v>-0.1355566141713784</v>
      </c>
      <c r="BO49">
        <f t="shared" si="22"/>
        <v>0.18977925983992949</v>
      </c>
      <c r="BP49">
        <f t="shared" si="23"/>
        <v>0.59644910235406434</v>
      </c>
      <c r="BQ49">
        <f t="shared" si="24"/>
        <v>1.0031189448681992</v>
      </c>
      <c r="DT49" s="20"/>
      <c r="DU49" s="19"/>
      <c r="DV49" s="19"/>
    </row>
    <row r="50" spans="1:126" s="1" customFormat="1" ht="16.5" x14ac:dyDescent="0.45">
      <c r="A50" s="2">
        <v>777.5</v>
      </c>
      <c r="B50" s="3">
        <v>10.130000000000001</v>
      </c>
      <c r="C50" s="4">
        <v>0.51</v>
      </c>
      <c r="D50" s="5">
        <v>0.02</v>
      </c>
      <c r="E50" s="6">
        <v>4.0999999999999996</v>
      </c>
      <c r="F50" s="7">
        <v>4.0999999999999996</v>
      </c>
      <c r="G50" s="8">
        <v>368</v>
      </c>
      <c r="H50" s="9">
        <v>358</v>
      </c>
      <c r="I50" s="7">
        <v>99.4</v>
      </c>
      <c r="J50" s="12">
        <v>0.02</v>
      </c>
      <c r="K50" s="10">
        <v>-0.02</v>
      </c>
      <c r="L50" s="10">
        <v>0.02</v>
      </c>
      <c r="M50" s="10">
        <v>-0.65</v>
      </c>
      <c r="N50" s="10">
        <v>-0.33</v>
      </c>
      <c r="O50" s="10">
        <v>-0.7</v>
      </c>
      <c r="P50" s="10">
        <v>-0.28000000000000003</v>
      </c>
      <c r="Q50" s="10">
        <v>-0.69</v>
      </c>
      <c r="R50" s="10">
        <v>-0.42</v>
      </c>
      <c r="S50" s="10">
        <v>-0.53</v>
      </c>
      <c r="T50" s="10">
        <v>-0.31</v>
      </c>
      <c r="U50" s="10">
        <v>-0.54</v>
      </c>
      <c r="V50" s="10">
        <v>-0.42</v>
      </c>
      <c r="W50" s="10">
        <v>-0.41</v>
      </c>
      <c r="X50" s="10">
        <v>-0.4</v>
      </c>
      <c r="Y50" s="10">
        <v>-0.45</v>
      </c>
      <c r="Z50" s="10">
        <v>-0.39</v>
      </c>
      <c r="AA50" s="10">
        <v>-0.28999999999999998</v>
      </c>
      <c r="AB50" s="10">
        <v>-0.12</v>
      </c>
      <c r="AC50" s="10">
        <v>0.02</v>
      </c>
      <c r="AD50" s="10">
        <v>0.02</v>
      </c>
      <c r="AE50" s="10">
        <v>0.02</v>
      </c>
      <c r="AF50" s="10">
        <v>0</v>
      </c>
      <c r="AG50" s="10">
        <v>0.02</v>
      </c>
      <c r="AH50" s="10">
        <v>0.02</v>
      </c>
      <c r="AI50" s="10">
        <v>0.02</v>
      </c>
      <c r="AJ50" s="10">
        <v>0.01</v>
      </c>
      <c r="AK50" s="10">
        <v>0.02</v>
      </c>
      <c r="AL50" s="10">
        <v>0.02</v>
      </c>
      <c r="AM50" s="10">
        <v>0.01</v>
      </c>
      <c r="AN50" s="10">
        <v>-0.35</v>
      </c>
      <c r="AO50" s="11">
        <v>0</v>
      </c>
      <c r="AP50" s="6">
        <v>22.8</v>
      </c>
      <c r="AQ50" s="10">
        <v>1.17</v>
      </c>
      <c r="AR50" s="10">
        <v>25.07</v>
      </c>
      <c r="AS50" s="11">
        <v>24.73</v>
      </c>
      <c r="AT50" s="23">
        <f t="shared" si="1"/>
        <v>19.862745098039216</v>
      </c>
      <c r="AU50" s="22">
        <f t="shared" si="28"/>
        <v>0.61225508049126032</v>
      </c>
      <c r="AV50" s="23">
        <f t="shared" si="29"/>
        <v>3.0824293292254962E-2</v>
      </c>
      <c r="AW50" s="22">
        <f t="shared" si="30"/>
        <v>8.0586387692169834E-3</v>
      </c>
      <c r="AX50">
        <f t="shared" si="5"/>
        <v>1.0063225163059708</v>
      </c>
      <c r="AY50">
        <f t="shared" si="6"/>
        <v>0.89753089292154131</v>
      </c>
      <c r="AZ50">
        <f t="shared" si="7"/>
        <v>1.0063225163059708</v>
      </c>
      <c r="BA50">
        <f t="shared" si="8"/>
        <v>-0.81593717538321964</v>
      </c>
      <c r="BB50">
        <f t="shared" si="9"/>
        <v>5.4395811692214524E-2</v>
      </c>
      <c r="BC50">
        <f t="shared" si="10"/>
        <v>-0.95192670461375606</v>
      </c>
      <c r="BD50">
        <f t="shared" si="11"/>
        <v>0.19038534092275111</v>
      </c>
      <c r="BE50">
        <f t="shared" si="12"/>
        <v>-0.92472879876764857</v>
      </c>
      <c r="BF50">
        <f t="shared" si="13"/>
        <v>-0.19038534092275122</v>
      </c>
      <c r="BG50">
        <f t="shared" si="14"/>
        <v>-0.48956230522993183</v>
      </c>
      <c r="BH50">
        <f t="shared" si="15"/>
        <v>0.1087916233844292</v>
      </c>
      <c r="BI50">
        <f t="shared" si="16"/>
        <v>-0.5167602110760392</v>
      </c>
      <c r="BJ50">
        <f t="shared" si="17"/>
        <v>-0.19038534092275122</v>
      </c>
      <c r="BK50">
        <f t="shared" si="18"/>
        <v>-0.16318743507664391</v>
      </c>
      <c r="BL50">
        <f t="shared" si="19"/>
        <v>-0.1359895292305367</v>
      </c>
      <c r="BM50">
        <f t="shared" si="20"/>
        <v>-0.27197905846107323</v>
      </c>
      <c r="BN50">
        <f t="shared" si="21"/>
        <v>-0.10879162338442937</v>
      </c>
      <c r="BO50">
        <f t="shared" si="22"/>
        <v>0.16318743507664391</v>
      </c>
      <c r="BP50">
        <f t="shared" si="23"/>
        <v>0.62555183446046825</v>
      </c>
      <c r="BQ50">
        <f t="shared" si="24"/>
        <v>1.0063225163059708</v>
      </c>
    </row>
    <row r="51" spans="1:126" s="1" customFormat="1" ht="16.5" x14ac:dyDescent="0.45">
      <c r="A51" s="2">
        <v>1044.4000000000001</v>
      </c>
      <c r="B51" s="3">
        <v>13.32</v>
      </c>
      <c r="C51" s="4">
        <v>0.62</v>
      </c>
      <c r="D51" s="5">
        <v>0.04</v>
      </c>
      <c r="E51" s="6">
        <v>6.1</v>
      </c>
      <c r="F51" s="7">
        <v>6.1</v>
      </c>
      <c r="G51" s="8">
        <v>368</v>
      </c>
      <c r="H51" s="9">
        <v>350</v>
      </c>
      <c r="I51" s="7">
        <v>99.4</v>
      </c>
      <c r="J51" s="12">
        <v>0.02</v>
      </c>
      <c r="K51" s="10">
        <v>-0.06</v>
      </c>
      <c r="L51" s="10">
        <v>0.02</v>
      </c>
      <c r="M51" s="10">
        <v>-0.8</v>
      </c>
      <c r="N51" s="10">
        <v>-0.23</v>
      </c>
      <c r="O51" s="10">
        <v>-0.82</v>
      </c>
      <c r="P51" s="10">
        <v>-0.23</v>
      </c>
      <c r="Q51" s="10">
        <v>-0.78</v>
      </c>
      <c r="R51" s="10">
        <v>-0.37</v>
      </c>
      <c r="S51" s="10">
        <v>-0.52</v>
      </c>
      <c r="T51" s="10">
        <v>-0.28000000000000003</v>
      </c>
      <c r="U51" s="10">
        <v>-0.54</v>
      </c>
      <c r="V51" s="10">
        <v>-0.4</v>
      </c>
      <c r="W51" s="10">
        <v>-0.43</v>
      </c>
      <c r="X51" s="10">
        <v>-0.39</v>
      </c>
      <c r="Y51" s="10">
        <v>-0.47</v>
      </c>
      <c r="Z51" s="10">
        <v>-0.37</v>
      </c>
      <c r="AA51" s="10">
        <v>-0.28999999999999998</v>
      </c>
      <c r="AB51" s="10">
        <v>-0.11</v>
      </c>
      <c r="AC51" s="10">
        <v>0.01</v>
      </c>
      <c r="AD51" s="10">
        <v>0.02</v>
      </c>
      <c r="AE51" s="10">
        <v>0.02</v>
      </c>
      <c r="AF51" s="10">
        <v>0.01</v>
      </c>
      <c r="AG51" s="10">
        <v>0.02</v>
      </c>
      <c r="AH51" s="10">
        <v>0.02</v>
      </c>
      <c r="AI51" s="10">
        <v>0.02</v>
      </c>
      <c r="AJ51" s="10">
        <v>0</v>
      </c>
      <c r="AK51" s="10">
        <v>0.02</v>
      </c>
      <c r="AL51" s="10">
        <v>0.02</v>
      </c>
      <c r="AM51" s="10">
        <v>0.02</v>
      </c>
      <c r="AN51" s="10">
        <v>-0.35</v>
      </c>
      <c r="AO51" s="11">
        <v>0</v>
      </c>
      <c r="AP51" s="6">
        <v>22.8</v>
      </c>
      <c r="AQ51" s="10">
        <v>1.17</v>
      </c>
      <c r="AR51" s="10">
        <v>25.07</v>
      </c>
      <c r="AS51" s="11">
        <v>24.45</v>
      </c>
      <c r="AT51" s="23">
        <f t="shared" si="1"/>
        <v>21.483870967741936</v>
      </c>
      <c r="AU51" s="22">
        <f t="shared" si="28"/>
        <v>0.80505801304477664</v>
      </c>
      <c r="AV51" s="23">
        <f t="shared" si="29"/>
        <v>3.7472670276858973E-2</v>
      </c>
      <c r="AW51" s="22">
        <f t="shared" si="30"/>
        <v>1.6117277538433967E-2</v>
      </c>
      <c r="AX51">
        <f t="shared" si="5"/>
        <v>1.0063225163059708</v>
      </c>
      <c r="AY51">
        <f t="shared" si="6"/>
        <v>0.78873926953711215</v>
      </c>
      <c r="AZ51">
        <f t="shared" si="7"/>
        <v>1.0063225163059708</v>
      </c>
      <c r="BA51">
        <f t="shared" si="8"/>
        <v>-1.2239057630748293</v>
      </c>
      <c r="BB51">
        <f t="shared" si="9"/>
        <v>0.3263748701532877</v>
      </c>
      <c r="BC51">
        <f t="shared" si="10"/>
        <v>-1.2783015747670439</v>
      </c>
      <c r="BD51">
        <f t="shared" si="11"/>
        <v>0.3263748701532877</v>
      </c>
      <c r="BE51">
        <f t="shared" si="12"/>
        <v>-1.1695099513826148</v>
      </c>
      <c r="BF51">
        <f t="shared" si="13"/>
        <v>-5.4395811692214684E-2</v>
      </c>
      <c r="BG51">
        <f t="shared" si="14"/>
        <v>-0.46236439938382445</v>
      </c>
      <c r="BH51">
        <f t="shared" si="15"/>
        <v>0.19038534092275111</v>
      </c>
      <c r="BI51">
        <f t="shared" si="16"/>
        <v>-0.5167602110760392</v>
      </c>
      <c r="BJ51">
        <f t="shared" si="17"/>
        <v>-0.1359895292305367</v>
      </c>
      <c r="BK51">
        <f t="shared" si="18"/>
        <v>-0.21758324676885857</v>
      </c>
      <c r="BL51">
        <f t="shared" si="19"/>
        <v>-0.10879162338442937</v>
      </c>
      <c r="BM51">
        <f t="shared" si="20"/>
        <v>-0.32637487015328781</v>
      </c>
      <c r="BN51">
        <f t="shared" si="21"/>
        <v>-5.4395811692214684E-2</v>
      </c>
      <c r="BO51">
        <f t="shared" si="22"/>
        <v>0.16318743507664391</v>
      </c>
      <c r="BP51">
        <f t="shared" si="23"/>
        <v>0.65274974030657562</v>
      </c>
      <c r="BQ51">
        <f t="shared" si="24"/>
        <v>0.97912461045986343</v>
      </c>
    </row>
    <row r="52" spans="1:126" s="1" customFormat="1" ht="16.5" x14ac:dyDescent="0.45">
      <c r="A52" s="2">
        <v>1251.4000000000001</v>
      </c>
      <c r="B52" s="3">
        <v>16.53</v>
      </c>
      <c r="C52" s="4">
        <v>0.83</v>
      </c>
      <c r="D52" s="5">
        <v>6.5000000000000002E-2</v>
      </c>
      <c r="E52" s="6">
        <v>8.1</v>
      </c>
      <c r="F52" s="7">
        <v>8.1</v>
      </c>
      <c r="G52" s="8">
        <v>367</v>
      </c>
      <c r="H52" s="9">
        <v>358</v>
      </c>
      <c r="I52" s="7">
        <v>99.4</v>
      </c>
      <c r="J52" s="12">
        <v>0.02</v>
      </c>
      <c r="K52" s="10">
        <v>-0.11</v>
      </c>
      <c r="L52" s="10">
        <v>0.02</v>
      </c>
      <c r="M52" s="10">
        <v>-1.04</v>
      </c>
      <c r="N52" s="10">
        <v>-0.17</v>
      </c>
      <c r="O52" s="10">
        <v>-0.87</v>
      </c>
      <c r="P52" s="10">
        <v>-0.18</v>
      </c>
      <c r="Q52" s="10">
        <v>-0.84</v>
      </c>
      <c r="R52" s="10">
        <v>-0.32</v>
      </c>
      <c r="S52" s="10">
        <v>-0.51</v>
      </c>
      <c r="T52" s="10">
        <v>-0.26</v>
      </c>
      <c r="U52" s="10">
        <v>-0.57999999999999996</v>
      </c>
      <c r="V52" s="10">
        <v>-0.38</v>
      </c>
      <c r="W52" s="10">
        <v>-0.43</v>
      </c>
      <c r="X52" s="10">
        <v>-0.37</v>
      </c>
      <c r="Y52" s="10">
        <v>-0.48</v>
      </c>
      <c r="Z52" s="10">
        <v>-0.37</v>
      </c>
      <c r="AA52" s="10">
        <v>-0.3</v>
      </c>
      <c r="AB52" s="10">
        <v>-0.11</v>
      </c>
      <c r="AC52" s="10">
        <v>0.02</v>
      </c>
      <c r="AD52" s="10">
        <v>0.02</v>
      </c>
      <c r="AE52" s="10">
        <v>0.02</v>
      </c>
      <c r="AF52" s="10">
        <v>0</v>
      </c>
      <c r="AG52" s="10">
        <v>0.02</v>
      </c>
      <c r="AH52" s="10">
        <v>0.02</v>
      </c>
      <c r="AI52" s="10">
        <v>0.02</v>
      </c>
      <c r="AJ52" s="10">
        <v>0.01</v>
      </c>
      <c r="AK52" s="10">
        <v>0.02</v>
      </c>
      <c r="AL52" s="10">
        <v>0.02</v>
      </c>
      <c r="AM52" s="10">
        <v>0.02</v>
      </c>
      <c r="AN52" s="10">
        <v>-0.36</v>
      </c>
      <c r="AO52" s="11">
        <v>0</v>
      </c>
      <c r="AP52" s="6">
        <v>22.8</v>
      </c>
      <c r="AQ52" s="10">
        <v>1.17</v>
      </c>
      <c r="AR52" s="10">
        <v>25.04</v>
      </c>
      <c r="AS52" s="11">
        <v>24.73</v>
      </c>
      <c r="AT52" s="23">
        <f t="shared" si="1"/>
        <v>19.91566265060241</v>
      </c>
      <c r="AU52" s="22">
        <f t="shared" si="28"/>
        <v>1.0014651125614802</v>
      </c>
      <c r="AV52" s="23">
        <f t="shared" si="29"/>
        <v>5.0285302082639344E-2</v>
      </c>
      <c r="AW52" s="22">
        <f t="shared" si="30"/>
        <v>2.6253370565233396E-2</v>
      </c>
      <c r="AX52">
        <v>0.71599839200000004</v>
      </c>
      <c r="AY52">
        <f t="shared" si="6"/>
        <v>0.68157788967432853</v>
      </c>
      <c r="AZ52">
        <f t="shared" si="7"/>
        <v>1.0359983923049794</v>
      </c>
      <c r="BA52">
        <f t="shared" si="8"/>
        <v>-1.8538918599141734</v>
      </c>
      <c r="BB52">
        <v>0.69799919600000004</v>
      </c>
      <c r="BC52">
        <f t="shared" si="10"/>
        <v>-1.3904188949356302</v>
      </c>
      <c r="BD52">
        <f t="shared" si="11"/>
        <v>0.49073608056551649</v>
      </c>
      <c r="BE52">
        <v>-1.2786295480000001</v>
      </c>
      <c r="BF52">
        <v>0.25905246199999998</v>
      </c>
      <c r="BG52">
        <v>-0.72089467340000002</v>
      </c>
      <c r="BH52">
        <v>0.18263115599999999</v>
      </c>
      <c r="BI52">
        <f t="shared" si="16"/>
        <v>-0.599788542913409</v>
      </c>
      <c r="BJ52">
        <v>0.15452623099999999</v>
      </c>
      <c r="BK52">
        <v>-0.38084180899999998</v>
      </c>
      <c r="BL52">
        <v>0.27263115999999998</v>
      </c>
      <c r="BM52">
        <f t="shared" si="20"/>
        <v>-0.32715738704367769</v>
      </c>
      <c r="BN52">
        <v>0.43726311600000001</v>
      </c>
      <c r="BO52">
        <v>-7.3578694E-2</v>
      </c>
      <c r="BP52">
        <f t="shared" si="23"/>
        <v>0.68157788967432853</v>
      </c>
      <c r="BQ52">
        <v>0.58599839200000003</v>
      </c>
    </row>
    <row r="53" spans="1:126" s="1" customFormat="1" ht="16.5" x14ac:dyDescent="0.45">
      <c r="A53" s="2">
        <v>1424.4</v>
      </c>
      <c r="B53" s="3">
        <v>19.98</v>
      </c>
      <c r="C53" s="4">
        <v>1.42</v>
      </c>
      <c r="D53" s="5">
        <v>0.09</v>
      </c>
      <c r="E53" s="6">
        <v>10.1</v>
      </c>
      <c r="F53" s="7">
        <v>10.1</v>
      </c>
      <c r="G53" s="8">
        <v>367</v>
      </c>
      <c r="H53" s="9">
        <v>356</v>
      </c>
      <c r="I53" s="7">
        <v>99.4</v>
      </c>
      <c r="J53" s="12">
        <v>0.02</v>
      </c>
      <c r="K53" s="10">
        <v>-0.17</v>
      </c>
      <c r="L53" s="10">
        <v>0.02</v>
      </c>
      <c r="M53" s="10">
        <v>-1.3</v>
      </c>
      <c r="N53" s="10">
        <v>-0.12</v>
      </c>
      <c r="O53" s="10">
        <v>-0.91</v>
      </c>
      <c r="P53" s="10">
        <v>-0.14000000000000001</v>
      </c>
      <c r="Q53" s="10">
        <v>-0.89</v>
      </c>
      <c r="R53" s="10">
        <v>-0.28999999999999998</v>
      </c>
      <c r="S53" s="10">
        <v>-0.62</v>
      </c>
      <c r="T53" s="10">
        <v>-0.25</v>
      </c>
      <c r="U53" s="10">
        <v>-0.6</v>
      </c>
      <c r="V53" s="10">
        <v>-0.36</v>
      </c>
      <c r="W53" s="10">
        <v>-0.43</v>
      </c>
      <c r="X53" s="10">
        <v>-0.37</v>
      </c>
      <c r="Y53" s="10">
        <v>-0.48</v>
      </c>
      <c r="Z53" s="10">
        <v>-0.37</v>
      </c>
      <c r="AA53" s="10">
        <v>-0.28999999999999998</v>
      </c>
      <c r="AB53" s="10">
        <v>-0.13</v>
      </c>
      <c r="AC53" s="10">
        <v>0.02</v>
      </c>
      <c r="AD53" s="10">
        <v>0.02</v>
      </c>
      <c r="AE53" s="10">
        <v>0.02</v>
      </c>
      <c r="AF53" s="10">
        <v>0</v>
      </c>
      <c r="AG53" s="10">
        <v>0.03</v>
      </c>
      <c r="AH53" s="10">
        <v>0.02</v>
      </c>
      <c r="AI53" s="10">
        <v>0.02</v>
      </c>
      <c r="AJ53" s="10">
        <v>0.01</v>
      </c>
      <c r="AK53" s="10">
        <v>0.02</v>
      </c>
      <c r="AL53" s="10">
        <v>0.02</v>
      </c>
      <c r="AM53" s="10">
        <v>0.02</v>
      </c>
      <c r="AN53" s="10">
        <v>-0.35</v>
      </c>
      <c r="AO53" s="11">
        <v>0</v>
      </c>
      <c r="AP53" s="6">
        <v>22.8</v>
      </c>
      <c r="AQ53" s="10">
        <v>1.17</v>
      </c>
      <c r="AR53" s="10">
        <v>25.04</v>
      </c>
      <c r="AS53" s="11">
        <v>24.66</v>
      </c>
      <c r="AT53" s="23">
        <f t="shared" si="1"/>
        <v>14.070422535211268</v>
      </c>
      <c r="AU53" s="22">
        <f t="shared" si="28"/>
        <v>1.2104823320616074</v>
      </c>
      <c r="AV53" s="23">
        <f t="shared" si="29"/>
        <v>8.6030275852226348E-2</v>
      </c>
      <c r="AW53" s="22">
        <f t="shared" si="30"/>
        <v>3.6350820782630855E-2</v>
      </c>
      <c r="AX53">
        <f t="shared" si="5"/>
        <v>1.0087352767180062</v>
      </c>
      <c r="AY53">
        <f t="shared" si="6"/>
        <v>0.49073608056551643</v>
      </c>
      <c r="AZ53">
        <f t="shared" si="7"/>
        <v>1.0087352767180062</v>
      </c>
      <c r="BA53">
        <f t="shared" si="8"/>
        <v>-2.5899959807624486</v>
      </c>
      <c r="BB53">
        <f t="shared" si="9"/>
        <v>0.62705165850038214</v>
      </c>
      <c r="BC53">
        <f t="shared" si="10"/>
        <v>-1.5267344728704959</v>
      </c>
      <c r="BD53">
        <f t="shared" si="11"/>
        <v>0.57252542732643585</v>
      </c>
      <c r="BE53">
        <f t="shared" si="12"/>
        <v>-1.4722082416965496</v>
      </c>
      <c r="BF53">
        <f t="shared" si="13"/>
        <v>0.16357869352183885</v>
      </c>
      <c r="BG53">
        <f t="shared" si="14"/>
        <v>-0.73610412084827481</v>
      </c>
      <c r="BH53">
        <f t="shared" si="15"/>
        <v>0.2726311558697313</v>
      </c>
      <c r="BI53">
        <f t="shared" si="16"/>
        <v>-0.68157788967432853</v>
      </c>
      <c r="BJ53">
        <f t="shared" si="17"/>
        <v>-2.7263115586973162E-2</v>
      </c>
      <c r="BK53">
        <f t="shared" si="18"/>
        <v>-0.21810492469578516</v>
      </c>
      <c r="BL53">
        <f t="shared" si="19"/>
        <v>-5.4526231173946324E-2</v>
      </c>
      <c r="BM53">
        <f t="shared" si="20"/>
        <v>-0.35442050263065084</v>
      </c>
      <c r="BN53">
        <f t="shared" si="21"/>
        <v>-5.4526231173946324E-2</v>
      </c>
      <c r="BO53">
        <f t="shared" si="22"/>
        <v>0.16357869352183885</v>
      </c>
      <c r="BP53">
        <f t="shared" si="23"/>
        <v>0.599788542913409</v>
      </c>
      <c r="BQ53">
        <f t="shared" si="24"/>
        <v>1.0087352767180062</v>
      </c>
    </row>
    <row r="54" spans="1:126" s="1" customFormat="1" ht="16.5" x14ac:dyDescent="0.45">
      <c r="A54" s="2">
        <v>1779.7</v>
      </c>
      <c r="B54" s="3">
        <v>14.87</v>
      </c>
      <c r="C54" s="4">
        <v>3.67</v>
      </c>
      <c r="D54" s="5">
        <v>-0.2</v>
      </c>
      <c r="E54" s="6">
        <v>10.9</v>
      </c>
      <c r="F54" s="7">
        <v>10.9</v>
      </c>
      <c r="G54" s="8">
        <v>368</v>
      </c>
      <c r="H54" s="9">
        <v>374</v>
      </c>
      <c r="I54" s="7">
        <v>99.4</v>
      </c>
      <c r="J54" s="12">
        <v>0.02</v>
      </c>
      <c r="K54" s="10">
        <v>-0.21</v>
      </c>
      <c r="L54" s="10">
        <v>0.03</v>
      </c>
      <c r="M54" s="10">
        <v>-1.43</v>
      </c>
      <c r="N54" s="10">
        <v>-0.1</v>
      </c>
      <c r="O54" s="10">
        <v>-0.96</v>
      </c>
      <c r="P54" s="10">
        <v>-0.13</v>
      </c>
      <c r="Q54" s="10">
        <v>-0.92</v>
      </c>
      <c r="R54" s="10">
        <v>-0.28000000000000003</v>
      </c>
      <c r="S54" s="10">
        <v>-0.59</v>
      </c>
      <c r="T54" s="10">
        <v>-0.24</v>
      </c>
      <c r="U54" s="10">
        <v>-0.6</v>
      </c>
      <c r="V54" s="10">
        <v>-0.36</v>
      </c>
      <c r="W54" s="10">
        <v>-0.43</v>
      </c>
      <c r="X54" s="10">
        <v>-0.37</v>
      </c>
      <c r="Y54" s="10">
        <v>-0.48</v>
      </c>
      <c r="Z54" s="10">
        <v>-0.39</v>
      </c>
      <c r="AA54" s="10">
        <v>-0.28999999999999998</v>
      </c>
      <c r="AB54" s="10">
        <v>-0.13</v>
      </c>
      <c r="AC54" s="10">
        <v>0.02</v>
      </c>
      <c r="AD54" s="10">
        <v>0.02</v>
      </c>
      <c r="AE54" s="10">
        <v>0.02</v>
      </c>
      <c r="AF54" s="10">
        <v>0</v>
      </c>
      <c r="AG54" s="10">
        <v>0.02</v>
      </c>
      <c r="AH54" s="10">
        <v>0.02</v>
      </c>
      <c r="AI54" s="10">
        <v>0.02</v>
      </c>
      <c r="AJ54" s="10">
        <v>0.01</v>
      </c>
      <c r="AK54" s="10">
        <v>0.02</v>
      </c>
      <c r="AL54" s="10">
        <v>0.02</v>
      </c>
      <c r="AM54" s="10">
        <v>0.02</v>
      </c>
      <c r="AN54" s="10">
        <v>-0.35</v>
      </c>
      <c r="AO54" s="11">
        <v>0</v>
      </c>
      <c r="AP54" s="6">
        <v>22.8</v>
      </c>
      <c r="AQ54" s="10">
        <v>1.17</v>
      </c>
      <c r="AR54" s="10">
        <v>25.07</v>
      </c>
      <c r="AS54" s="11">
        <v>25.28</v>
      </c>
      <c r="AT54" s="23">
        <f t="shared" si="1"/>
        <v>4.0517711171662123</v>
      </c>
      <c r="AU54" s="22">
        <f t="shared" si="28"/>
        <v>0.898739688736924</v>
      </c>
      <c r="AV54" s="23">
        <f t="shared" si="29"/>
        <v>0.22181403212269746</v>
      </c>
      <c r="AW54" s="22">
        <f t="shared" si="30"/>
        <v>-8.0586387692169845E-2</v>
      </c>
      <c r="AX54">
        <f t="shared" si="5"/>
        <v>1.0063225163059708</v>
      </c>
      <c r="AY54">
        <f t="shared" si="6"/>
        <v>0.38077068184550233</v>
      </c>
      <c r="AZ54">
        <f t="shared" si="7"/>
        <v>1.033520422152078</v>
      </c>
      <c r="BA54">
        <f t="shared" si="8"/>
        <v>-2.9373738313795901</v>
      </c>
      <c r="BB54">
        <f t="shared" si="9"/>
        <v>0.67994764615268288</v>
      </c>
      <c r="BC54">
        <f t="shared" si="10"/>
        <v>-1.6590722566125462</v>
      </c>
      <c r="BD54">
        <f t="shared" si="11"/>
        <v>0.59835392861436087</v>
      </c>
      <c r="BE54">
        <f t="shared" si="12"/>
        <v>-1.5502806332281174</v>
      </c>
      <c r="BF54">
        <f t="shared" si="13"/>
        <v>0.19038534092275111</v>
      </c>
      <c r="BG54">
        <f t="shared" si="14"/>
        <v>-0.65274974030657562</v>
      </c>
      <c r="BH54">
        <f t="shared" si="15"/>
        <v>0.29917696430718044</v>
      </c>
      <c r="BI54">
        <f t="shared" si="16"/>
        <v>-0.67994764615268288</v>
      </c>
      <c r="BJ54">
        <f t="shared" si="17"/>
        <v>-2.7197905846107342E-2</v>
      </c>
      <c r="BK54">
        <f t="shared" si="18"/>
        <v>-0.21758324676885857</v>
      </c>
      <c r="BL54">
        <f t="shared" si="19"/>
        <v>-5.4395811692214684E-2</v>
      </c>
      <c r="BM54">
        <f t="shared" si="20"/>
        <v>-0.35357277599939513</v>
      </c>
      <c r="BN54">
        <f t="shared" si="21"/>
        <v>-0.10879162338442937</v>
      </c>
      <c r="BO54">
        <f t="shared" si="22"/>
        <v>0.16318743507664391</v>
      </c>
      <c r="BP54">
        <f t="shared" si="23"/>
        <v>0.59835392861436087</v>
      </c>
      <c r="BQ54">
        <f t="shared" si="24"/>
        <v>1.0063225163059708</v>
      </c>
    </row>
    <row r="55" spans="1:126" s="1" customFormat="1" ht="16.5" x14ac:dyDescent="0.45">
      <c r="A55" s="2">
        <v>2006.5</v>
      </c>
      <c r="B55" s="3">
        <v>13.32</v>
      </c>
      <c r="C55" s="4">
        <v>4.8899999999999997</v>
      </c>
      <c r="D55" s="5">
        <v>-0.27</v>
      </c>
      <c r="E55" s="6">
        <v>11.9</v>
      </c>
      <c r="F55" s="7">
        <v>11.9</v>
      </c>
      <c r="G55" s="8">
        <v>368</v>
      </c>
      <c r="H55" s="9">
        <v>372</v>
      </c>
      <c r="I55" s="7">
        <v>99.4</v>
      </c>
      <c r="J55" s="12">
        <v>0.02</v>
      </c>
      <c r="K55" s="10">
        <v>-0.02</v>
      </c>
      <c r="L55" s="10">
        <v>0.02</v>
      </c>
      <c r="M55" s="10">
        <v>-0.56999999999999995</v>
      </c>
      <c r="N55" s="10">
        <v>-0.17</v>
      </c>
      <c r="O55" s="10">
        <v>-0.71</v>
      </c>
      <c r="P55" s="10">
        <v>-0.18</v>
      </c>
      <c r="Q55" s="10">
        <v>-0.7</v>
      </c>
      <c r="R55" s="10">
        <v>-0.34</v>
      </c>
      <c r="S55" s="10">
        <v>-0.64</v>
      </c>
      <c r="T55" s="10">
        <v>-0.28000000000000003</v>
      </c>
      <c r="U55" s="10">
        <v>-0.67</v>
      </c>
      <c r="V55" s="10">
        <v>-0.41</v>
      </c>
      <c r="W55" s="10">
        <v>-0.53</v>
      </c>
      <c r="X55" s="10">
        <v>-0.42</v>
      </c>
      <c r="Y55" s="10">
        <v>-0.64</v>
      </c>
      <c r="Z55" s="10">
        <v>-0.45</v>
      </c>
      <c r="AA55" s="10">
        <v>-0.43</v>
      </c>
      <c r="AB55" s="10">
        <v>-0.16</v>
      </c>
      <c r="AC55" s="10">
        <v>0.01</v>
      </c>
      <c r="AD55" s="10">
        <v>0.02</v>
      </c>
      <c r="AE55" s="10">
        <v>0.02</v>
      </c>
      <c r="AF55" s="10">
        <v>0</v>
      </c>
      <c r="AG55" s="10">
        <v>0.03</v>
      </c>
      <c r="AH55" s="10">
        <v>0.02</v>
      </c>
      <c r="AI55" s="10">
        <v>0.02</v>
      </c>
      <c r="AJ55" s="10">
        <v>0.01</v>
      </c>
      <c r="AK55" s="10">
        <v>0.02</v>
      </c>
      <c r="AL55" s="10">
        <v>0.02</v>
      </c>
      <c r="AM55" s="10">
        <v>0.02</v>
      </c>
      <c r="AN55" s="10">
        <v>-0.36</v>
      </c>
      <c r="AO55" s="11">
        <v>0</v>
      </c>
      <c r="AP55" s="6">
        <v>22.8</v>
      </c>
      <c r="AQ55" s="10">
        <v>1.17</v>
      </c>
      <c r="AR55" s="10">
        <v>25.07</v>
      </c>
      <c r="AS55" s="11">
        <v>25.21</v>
      </c>
      <c r="AT55" s="23">
        <f t="shared" si="1"/>
        <v>2.7239263803680984</v>
      </c>
      <c r="AU55" s="22">
        <f t="shared" si="28"/>
        <v>0.80505801304477664</v>
      </c>
      <c r="AV55" s="23">
        <f t="shared" si="29"/>
        <v>0.29555057686103287</v>
      </c>
      <c r="AW55" s="22">
        <f t="shared" si="30"/>
        <v>-0.1087916233844293</v>
      </c>
      <c r="AX55">
        <f t="shared" si="5"/>
        <v>1.033520422152078</v>
      </c>
      <c r="AY55">
        <f t="shared" si="6"/>
        <v>0.92472879876764857</v>
      </c>
      <c r="AZ55">
        <f t="shared" si="7"/>
        <v>1.033520422152078</v>
      </c>
      <c r="BA55">
        <f t="shared" si="8"/>
        <v>-0.57115602276825361</v>
      </c>
      <c r="BB55">
        <f t="shared" si="9"/>
        <v>0.51676021107603898</v>
      </c>
      <c r="BC55">
        <f t="shared" si="10"/>
        <v>-0.95192670461375606</v>
      </c>
      <c r="BD55">
        <f t="shared" si="11"/>
        <v>0.48956230522993172</v>
      </c>
      <c r="BE55">
        <f t="shared" si="12"/>
        <v>-0.92472879876764857</v>
      </c>
      <c r="BF55">
        <f t="shared" si="13"/>
        <v>5.4395811692214524E-2</v>
      </c>
      <c r="BG55">
        <f t="shared" si="14"/>
        <v>-0.76154136369100489</v>
      </c>
      <c r="BH55">
        <f t="shared" si="15"/>
        <v>0.2175832467688584</v>
      </c>
      <c r="BI55">
        <f t="shared" si="16"/>
        <v>-0.84313508122932701</v>
      </c>
      <c r="BJ55">
        <f t="shared" si="17"/>
        <v>-0.13598952923053653</v>
      </c>
      <c r="BK55">
        <f t="shared" si="18"/>
        <v>-0.46236439938382445</v>
      </c>
      <c r="BL55">
        <f t="shared" si="19"/>
        <v>-0.16318743507664391</v>
      </c>
      <c r="BM55">
        <f t="shared" si="20"/>
        <v>-0.76154136369100489</v>
      </c>
      <c r="BN55">
        <f t="shared" si="21"/>
        <v>-0.24478115261496591</v>
      </c>
      <c r="BO55">
        <f t="shared" si="22"/>
        <v>-0.19038534092275122</v>
      </c>
      <c r="BP55">
        <f t="shared" si="23"/>
        <v>0.54395811692214624</v>
      </c>
      <c r="BQ55">
        <f t="shared" si="24"/>
        <v>1.0063225163059708</v>
      </c>
    </row>
    <row r="56" spans="1:126" s="1" customFormat="1" ht="16.5" x14ac:dyDescent="0.45">
      <c r="A56" s="2">
        <v>2326</v>
      </c>
      <c r="B56" s="3">
        <v>12.7</v>
      </c>
      <c r="C56" s="4">
        <v>5.68</v>
      </c>
      <c r="D56" s="5">
        <v>-0.28000000000000003</v>
      </c>
      <c r="E56" s="6">
        <v>13.1</v>
      </c>
      <c r="F56" s="7">
        <v>13.1</v>
      </c>
      <c r="G56" s="8">
        <v>366</v>
      </c>
      <c r="H56" s="9">
        <v>396</v>
      </c>
      <c r="I56" s="7">
        <v>99.4</v>
      </c>
      <c r="J56" s="12">
        <v>0.02</v>
      </c>
      <c r="K56" s="10">
        <v>-0.02</v>
      </c>
      <c r="L56" s="10">
        <v>0.02</v>
      </c>
      <c r="M56" s="10">
        <v>-0.52</v>
      </c>
      <c r="N56" s="10">
        <v>-0.17</v>
      </c>
      <c r="O56" s="10">
        <v>-0.66</v>
      </c>
      <c r="P56" s="10">
        <v>-0.18</v>
      </c>
      <c r="Q56" s="10">
        <v>-0.65</v>
      </c>
      <c r="R56" s="10">
        <v>-0.34</v>
      </c>
      <c r="S56" s="10">
        <v>-0.63</v>
      </c>
      <c r="T56" s="10">
        <v>-0.28000000000000003</v>
      </c>
      <c r="U56" s="10">
        <v>-0.62</v>
      </c>
      <c r="V56" s="10">
        <v>-0.43</v>
      </c>
      <c r="W56" s="10">
        <v>-0.49</v>
      </c>
      <c r="X56" s="10">
        <v>-0.43</v>
      </c>
      <c r="Y56" s="10">
        <v>-0.63</v>
      </c>
      <c r="Z56" s="10">
        <v>-0.47</v>
      </c>
      <c r="AA56" s="10">
        <v>-0.44</v>
      </c>
      <c r="AB56" s="10">
        <v>-0.16</v>
      </c>
      <c r="AC56" s="10">
        <v>0.01</v>
      </c>
      <c r="AD56" s="10">
        <v>0.02</v>
      </c>
      <c r="AE56" s="10">
        <v>0.02</v>
      </c>
      <c r="AF56" s="10">
        <v>0.01</v>
      </c>
      <c r="AG56" s="10">
        <v>0.03</v>
      </c>
      <c r="AH56" s="10">
        <v>0.02</v>
      </c>
      <c r="AI56" s="10">
        <v>0.02</v>
      </c>
      <c r="AJ56" s="10">
        <v>0.01</v>
      </c>
      <c r="AK56" s="10">
        <v>0.02</v>
      </c>
      <c r="AL56" s="10">
        <v>0.02</v>
      </c>
      <c r="AM56" s="10">
        <v>0.02</v>
      </c>
      <c r="AN56" s="10">
        <v>-0.36</v>
      </c>
      <c r="AO56" s="11">
        <v>0</v>
      </c>
      <c r="AP56" s="6">
        <v>22.8</v>
      </c>
      <c r="AQ56" s="10">
        <v>1.17</v>
      </c>
      <c r="AR56" s="10">
        <v>25</v>
      </c>
      <c r="AS56" s="11">
        <v>26.01</v>
      </c>
      <c r="AT56" s="23">
        <f t="shared" si="1"/>
        <v>2.2359154929577465</v>
      </c>
      <c r="AU56" s="22">
        <f t="shared" si="28"/>
        <v>0.77188983855650517</v>
      </c>
      <c r="AV56" s="23">
        <f t="shared" si="29"/>
        <v>0.34522317188983853</v>
      </c>
      <c r="AW56" s="22">
        <f t="shared" si="30"/>
        <v>-0.11345362456473569</v>
      </c>
      <c r="AX56">
        <f t="shared" si="5"/>
        <v>1.0393162393162394</v>
      </c>
      <c r="AY56">
        <f t="shared" si="6"/>
        <v>0.92991452991452972</v>
      </c>
      <c r="AZ56">
        <f t="shared" si="7"/>
        <v>1.0393162393162394</v>
      </c>
      <c r="BA56">
        <f t="shared" si="8"/>
        <v>-0.43760683760683766</v>
      </c>
      <c r="BB56">
        <f t="shared" si="9"/>
        <v>0.51965811965811959</v>
      </c>
      <c r="BC56">
        <f t="shared" si="10"/>
        <v>-0.82051282051282071</v>
      </c>
      <c r="BD56">
        <f t="shared" si="11"/>
        <v>0.49230769230769234</v>
      </c>
      <c r="BE56">
        <f t="shared" si="12"/>
        <v>-0.79316239316239334</v>
      </c>
      <c r="BF56">
        <f t="shared" si="13"/>
        <v>5.4700854700854597E-2</v>
      </c>
      <c r="BG56">
        <f t="shared" si="14"/>
        <v>-0.7384615384615385</v>
      </c>
      <c r="BH56">
        <f t="shared" si="15"/>
        <v>0.21880341880341869</v>
      </c>
      <c r="BI56">
        <f t="shared" si="16"/>
        <v>-0.71111111111111114</v>
      </c>
      <c r="BJ56">
        <f t="shared" si="17"/>
        <v>-0.19145299145299147</v>
      </c>
      <c r="BK56">
        <f t="shared" si="18"/>
        <v>-0.35555555555555557</v>
      </c>
      <c r="BL56">
        <f t="shared" si="19"/>
        <v>-0.19145299145299147</v>
      </c>
      <c r="BM56">
        <f t="shared" si="20"/>
        <v>-0.7384615384615385</v>
      </c>
      <c r="BN56">
        <f t="shared" si="21"/>
        <v>-0.30085470085470084</v>
      </c>
      <c r="BO56">
        <f t="shared" si="22"/>
        <v>-0.21880341880341883</v>
      </c>
      <c r="BP56">
        <f t="shared" si="23"/>
        <v>0.54700854700854695</v>
      </c>
      <c r="BQ56">
        <f t="shared" si="24"/>
        <v>1.0119658119658119</v>
      </c>
    </row>
    <row r="57" spans="1:126" s="1" customFormat="1" ht="16.5" x14ac:dyDescent="0.45">
      <c r="A57" s="2">
        <v>2556.6</v>
      </c>
      <c r="B57" s="3">
        <v>12.24</v>
      </c>
      <c r="C57" s="4">
        <v>6.36</v>
      </c>
      <c r="D57" s="5">
        <v>-0.28999999999999998</v>
      </c>
      <c r="E57" s="6">
        <v>13.9</v>
      </c>
      <c r="F57" s="7">
        <v>13.9</v>
      </c>
      <c r="G57" s="8">
        <v>369</v>
      </c>
      <c r="H57" s="9">
        <v>384</v>
      </c>
      <c r="I57" s="7">
        <v>99.4</v>
      </c>
      <c r="J57" s="12">
        <v>0.02</v>
      </c>
      <c r="K57" s="10">
        <v>-0.02</v>
      </c>
      <c r="L57" s="10">
        <v>0.02</v>
      </c>
      <c r="M57" s="10">
        <v>-0.55000000000000004</v>
      </c>
      <c r="N57" s="10">
        <v>-0.17</v>
      </c>
      <c r="O57" s="10">
        <v>-0.64</v>
      </c>
      <c r="P57" s="10">
        <v>-0.18</v>
      </c>
      <c r="Q57" s="10">
        <v>-0.68</v>
      </c>
      <c r="R57" s="10">
        <v>-0.34</v>
      </c>
      <c r="S57" s="10">
        <v>-0.62</v>
      </c>
      <c r="T57" s="10">
        <v>-0.28000000000000003</v>
      </c>
      <c r="U57" s="10">
        <v>-0.65</v>
      </c>
      <c r="V57" s="10">
        <v>-0.43</v>
      </c>
      <c r="W57" s="10">
        <v>-0.51</v>
      </c>
      <c r="X57" s="10">
        <v>-0.44</v>
      </c>
      <c r="Y57" s="10">
        <v>-0.64</v>
      </c>
      <c r="Z57" s="10">
        <v>-0.48</v>
      </c>
      <c r="AA57" s="10">
        <v>-0.45</v>
      </c>
      <c r="AB57" s="10">
        <v>-0.17</v>
      </c>
      <c r="AC57" s="10">
        <v>0.01</v>
      </c>
      <c r="AD57" s="10">
        <v>0.02</v>
      </c>
      <c r="AE57" s="10">
        <v>0.02</v>
      </c>
      <c r="AF57" s="10">
        <v>0</v>
      </c>
      <c r="AG57" s="10">
        <v>0.02</v>
      </c>
      <c r="AH57" s="10">
        <v>0.02</v>
      </c>
      <c r="AI57" s="10">
        <v>0.02</v>
      </c>
      <c r="AJ57" s="10">
        <v>0.02</v>
      </c>
      <c r="AK57" s="10">
        <v>0.02</v>
      </c>
      <c r="AL57" s="10">
        <v>0.02</v>
      </c>
      <c r="AM57" s="10">
        <v>0.02</v>
      </c>
      <c r="AN57" s="10">
        <v>-0.35</v>
      </c>
      <c r="AO57" s="11">
        <v>0</v>
      </c>
      <c r="AP57" s="6">
        <v>22.8</v>
      </c>
      <c r="AQ57" s="10">
        <v>1.17</v>
      </c>
      <c r="AR57" s="10">
        <v>25.11</v>
      </c>
      <c r="AS57" s="11">
        <v>25.61</v>
      </c>
      <c r="AT57" s="23">
        <f t="shared" si="1"/>
        <v>1.9245283018867925</v>
      </c>
      <c r="AU57" s="22">
        <f t="shared" si="28"/>
        <v>0.73742798109229801</v>
      </c>
      <c r="AV57" s="23">
        <f t="shared" si="29"/>
        <v>0.38317336272442937</v>
      </c>
      <c r="AW57" s="22">
        <f t="shared" si="30"/>
        <v>-0.11647827588059172</v>
      </c>
      <c r="AX57">
        <f t="shared" si="5"/>
        <v>1.0031189448681992</v>
      </c>
      <c r="AY57">
        <f t="shared" si="6"/>
        <v>0.89467365353109651</v>
      </c>
      <c r="AZ57">
        <f t="shared" si="7"/>
        <v>1.0031189448681992</v>
      </c>
      <c r="BA57">
        <f t="shared" si="8"/>
        <v>-0.54222645668551328</v>
      </c>
      <c r="BB57">
        <f t="shared" si="9"/>
        <v>0.48800381101696172</v>
      </c>
      <c r="BC57">
        <f t="shared" si="10"/>
        <v>-0.78622836219399417</v>
      </c>
      <c r="BD57">
        <f t="shared" si="11"/>
        <v>0.46089248818268608</v>
      </c>
      <c r="BE57">
        <f t="shared" si="12"/>
        <v>-0.89467365353109685</v>
      </c>
      <c r="BF57">
        <f t="shared" si="13"/>
        <v>2.7111322834275531E-2</v>
      </c>
      <c r="BG57">
        <f t="shared" si="14"/>
        <v>-0.73200571652544277</v>
      </c>
      <c r="BH57">
        <f t="shared" si="15"/>
        <v>0.18977925983992949</v>
      </c>
      <c r="BI57">
        <f t="shared" si="16"/>
        <v>-0.81333968502826981</v>
      </c>
      <c r="BJ57">
        <f t="shared" si="17"/>
        <v>-0.2168905826742053</v>
      </c>
      <c r="BK57">
        <f t="shared" si="18"/>
        <v>-0.4337811653484106</v>
      </c>
      <c r="BL57">
        <f t="shared" si="19"/>
        <v>-0.244001905508481</v>
      </c>
      <c r="BM57">
        <f t="shared" si="20"/>
        <v>-0.78622836219399417</v>
      </c>
      <c r="BN57">
        <f t="shared" si="21"/>
        <v>-0.35244719684558357</v>
      </c>
      <c r="BO57">
        <f t="shared" si="22"/>
        <v>-0.27111322834275664</v>
      </c>
      <c r="BP57">
        <f t="shared" si="23"/>
        <v>0.48800381101696172</v>
      </c>
      <c r="BQ57">
        <f t="shared" si="24"/>
        <v>0.97600762203392366</v>
      </c>
    </row>
    <row r="58" spans="1:126" s="1" customFormat="1" ht="16.5" x14ac:dyDescent="0.45">
      <c r="A58" s="2">
        <v>2782.5</v>
      </c>
      <c r="B58" s="3">
        <v>11.95</v>
      </c>
      <c r="C58" s="4">
        <v>7.01</v>
      </c>
      <c r="D58" s="5">
        <v>-0.28999999999999998</v>
      </c>
      <c r="E58" s="6">
        <v>15.1</v>
      </c>
      <c r="F58" s="7">
        <v>15.1</v>
      </c>
      <c r="G58" s="8">
        <v>369</v>
      </c>
      <c r="H58" s="9">
        <v>400</v>
      </c>
      <c r="I58" s="7">
        <v>99.4</v>
      </c>
      <c r="J58" s="12">
        <v>0.02</v>
      </c>
      <c r="K58" s="10">
        <v>-0.02</v>
      </c>
      <c r="L58" s="10">
        <v>0.02</v>
      </c>
      <c r="M58" s="10">
        <v>-0.5</v>
      </c>
      <c r="N58" s="10">
        <v>-0.17</v>
      </c>
      <c r="O58" s="10">
        <v>-0.61</v>
      </c>
      <c r="P58" s="10">
        <v>-0.18</v>
      </c>
      <c r="Q58" s="10">
        <v>-0.62</v>
      </c>
      <c r="R58" s="10">
        <v>-0.34</v>
      </c>
      <c r="S58" s="10">
        <v>-0.6</v>
      </c>
      <c r="T58" s="10">
        <v>-0.28000000000000003</v>
      </c>
      <c r="U58" s="10">
        <v>-0.59</v>
      </c>
      <c r="V58" s="10">
        <v>-0.43</v>
      </c>
      <c r="W58" s="10">
        <v>-0.45</v>
      </c>
      <c r="X58" s="10">
        <v>-0.45</v>
      </c>
      <c r="Y58" s="10">
        <v>-0.61</v>
      </c>
      <c r="Z58" s="10">
        <v>-0.5</v>
      </c>
      <c r="AA58" s="10">
        <v>-0.44</v>
      </c>
      <c r="AB58" s="10">
        <v>-0.18</v>
      </c>
      <c r="AC58" s="10">
        <v>0.01</v>
      </c>
      <c r="AD58" s="10">
        <v>0.02</v>
      </c>
      <c r="AE58" s="10">
        <v>0.02</v>
      </c>
      <c r="AF58" s="10">
        <v>0.01</v>
      </c>
      <c r="AG58" s="10">
        <v>0.03</v>
      </c>
      <c r="AH58" s="10">
        <v>0.02</v>
      </c>
      <c r="AI58" s="10">
        <v>0.02</v>
      </c>
      <c r="AJ58" s="10">
        <v>0.01</v>
      </c>
      <c r="AK58" s="10">
        <v>0.02</v>
      </c>
      <c r="AL58" s="10">
        <v>0.02</v>
      </c>
      <c r="AM58" s="10">
        <v>0.02</v>
      </c>
      <c r="AN58" s="10">
        <v>-0.35</v>
      </c>
      <c r="AO58" s="11">
        <v>0</v>
      </c>
      <c r="AP58" s="6">
        <v>22.8</v>
      </c>
      <c r="AQ58" s="10">
        <v>1.17</v>
      </c>
      <c r="AR58" s="10">
        <v>25.11</v>
      </c>
      <c r="AS58" s="11">
        <v>26.14</v>
      </c>
      <c r="AT58" s="23">
        <f t="shared" si="1"/>
        <v>1.7047075606276747</v>
      </c>
      <c r="AU58" s="22">
        <f t="shared" si="28"/>
        <v>0.71995623971020917</v>
      </c>
      <c r="AV58" s="23">
        <f t="shared" si="29"/>
        <v>0.42233416237393862</v>
      </c>
      <c r="AW58" s="22">
        <f t="shared" si="30"/>
        <v>-0.11647827588059172</v>
      </c>
      <c r="AX58">
        <v>0.93311894500000003</v>
      </c>
      <c r="AY58">
        <f t="shared" si="6"/>
        <v>0.89467365353109651</v>
      </c>
      <c r="AZ58">
        <f t="shared" si="7"/>
        <v>1.0031189448681992</v>
      </c>
      <c r="BA58">
        <f t="shared" si="8"/>
        <v>-0.4066698425141349</v>
      </c>
      <c r="BB58">
        <v>0.68800381099999997</v>
      </c>
      <c r="BC58">
        <f t="shared" si="10"/>
        <v>-0.70489439369116713</v>
      </c>
      <c r="BD58">
        <f t="shared" si="11"/>
        <v>0.46089248818268608</v>
      </c>
      <c r="BE58">
        <f t="shared" si="12"/>
        <v>-0.73200571652544277</v>
      </c>
      <c r="BF58">
        <v>0.23111323</v>
      </c>
      <c r="BG58">
        <f t="shared" si="14"/>
        <v>-0.67778307085689138</v>
      </c>
      <c r="BH58">
        <f t="shared" si="15"/>
        <v>0.18977925983992949</v>
      </c>
      <c r="BI58">
        <f t="shared" si="16"/>
        <v>-0.65067174802261574</v>
      </c>
      <c r="BJ58">
        <v>0.16689058300000001</v>
      </c>
      <c r="BK58">
        <v>-0.59111322799999999</v>
      </c>
      <c r="BL58">
        <v>0.21111322799999999</v>
      </c>
      <c r="BM58">
        <v>-0.57489439399999998</v>
      </c>
      <c r="BN58">
        <v>0.42066698429999999</v>
      </c>
      <c r="BO58">
        <f t="shared" si="22"/>
        <v>-0.244001905508481</v>
      </c>
      <c r="BP58">
        <v>0.73089248799999995</v>
      </c>
      <c r="BQ58">
        <v>0.576007622</v>
      </c>
    </row>
    <row r="59" spans="1:126" s="1" customFormat="1" ht="16.5" x14ac:dyDescent="0.45">
      <c r="A59" s="2">
        <v>2998.4</v>
      </c>
      <c r="B59" s="3">
        <v>11.8</v>
      </c>
      <c r="C59" s="4">
        <v>7.68</v>
      </c>
      <c r="D59" s="5">
        <v>-0.3</v>
      </c>
      <c r="E59" s="6">
        <v>16</v>
      </c>
      <c r="F59" s="7">
        <v>16</v>
      </c>
      <c r="G59" s="8">
        <v>368</v>
      </c>
      <c r="H59" s="9">
        <v>406</v>
      </c>
      <c r="I59" s="7">
        <v>99.4</v>
      </c>
      <c r="J59" s="12">
        <v>0.02</v>
      </c>
      <c r="K59" s="10">
        <v>0</v>
      </c>
      <c r="L59" s="10">
        <v>0.03</v>
      </c>
      <c r="M59" s="10">
        <v>-0.5</v>
      </c>
      <c r="N59" s="10">
        <v>-0.17</v>
      </c>
      <c r="O59" s="10">
        <v>-0.61</v>
      </c>
      <c r="P59" s="10">
        <v>-0.18</v>
      </c>
      <c r="Q59" s="10">
        <v>-0.62</v>
      </c>
      <c r="R59" s="10">
        <v>-0.34</v>
      </c>
      <c r="S59" s="10">
        <v>-0.59</v>
      </c>
      <c r="T59" s="10">
        <v>-0.28999999999999998</v>
      </c>
      <c r="U59" s="10">
        <v>-0.59</v>
      </c>
      <c r="V59" s="10">
        <v>-0.44</v>
      </c>
      <c r="W59" s="10">
        <v>-0.45</v>
      </c>
      <c r="X59" s="10">
        <v>-0.47</v>
      </c>
      <c r="Y59" s="10">
        <v>-0.6</v>
      </c>
      <c r="Z59" s="10">
        <v>-0.5</v>
      </c>
      <c r="AA59" s="10">
        <v>-0.43</v>
      </c>
      <c r="AB59" s="10">
        <v>-0.18</v>
      </c>
      <c r="AC59" s="10">
        <v>0.01</v>
      </c>
      <c r="AD59" s="10">
        <v>0.02</v>
      </c>
      <c r="AE59" s="10">
        <v>0.02</v>
      </c>
      <c r="AF59" s="10">
        <v>0.01</v>
      </c>
      <c r="AG59" s="10">
        <v>0.03</v>
      </c>
      <c r="AH59" s="10">
        <v>0.02</v>
      </c>
      <c r="AI59" s="10">
        <v>0.02</v>
      </c>
      <c r="AJ59" s="10">
        <v>0.01</v>
      </c>
      <c r="AK59" s="10">
        <v>0.02</v>
      </c>
      <c r="AL59" s="10">
        <v>0.02</v>
      </c>
      <c r="AM59" s="10">
        <v>0.02</v>
      </c>
      <c r="AN59" s="10">
        <v>-0.36</v>
      </c>
      <c r="AO59" s="11">
        <v>0</v>
      </c>
      <c r="AP59" s="6">
        <v>22.8</v>
      </c>
      <c r="AQ59" s="10">
        <v>1.17</v>
      </c>
      <c r="AR59" s="10">
        <v>25.07</v>
      </c>
      <c r="AS59" s="11">
        <v>26.33</v>
      </c>
      <c r="AT59" s="23">
        <f t="shared" si="1"/>
        <v>1.5364583333333335</v>
      </c>
      <c r="AU59" s="22">
        <f t="shared" si="28"/>
        <v>0.71318953107570304</v>
      </c>
      <c r="AV59" s="23">
        <f t="shared" si="29"/>
        <v>0.46417759310689821</v>
      </c>
      <c r="AW59" s="22">
        <f t="shared" si="30"/>
        <v>-0.12087958153825476</v>
      </c>
      <c r="AX59">
        <f t="shared" si="5"/>
        <v>1.033520422152078</v>
      </c>
      <c r="AY59">
        <f t="shared" si="6"/>
        <v>0.97912461045986343</v>
      </c>
      <c r="AZ59">
        <f t="shared" si="7"/>
        <v>1.0607183279981853</v>
      </c>
      <c r="BA59">
        <f t="shared" si="8"/>
        <v>-0.38077068184550245</v>
      </c>
      <c r="BB59">
        <f t="shared" si="9"/>
        <v>0.51676021107603898</v>
      </c>
      <c r="BC59">
        <f t="shared" si="10"/>
        <v>-0.67994764615268288</v>
      </c>
      <c r="BD59">
        <f t="shared" si="11"/>
        <v>0.48956230522993172</v>
      </c>
      <c r="BE59">
        <f t="shared" si="12"/>
        <v>-0.70714555199879026</v>
      </c>
      <c r="BF59">
        <f t="shared" si="13"/>
        <v>5.4395811692214524E-2</v>
      </c>
      <c r="BG59">
        <f t="shared" si="14"/>
        <v>-0.62555183446046825</v>
      </c>
      <c r="BH59">
        <f t="shared" si="15"/>
        <v>0.19038534092275122</v>
      </c>
      <c r="BI59">
        <f t="shared" si="16"/>
        <v>-0.62555183446046825</v>
      </c>
      <c r="BJ59">
        <f t="shared" si="17"/>
        <v>-0.21758324676885857</v>
      </c>
      <c r="BK59">
        <f t="shared" si="18"/>
        <v>-0.24478115261496591</v>
      </c>
      <c r="BL59">
        <f t="shared" si="19"/>
        <v>-0.29917696430718044</v>
      </c>
      <c r="BM59">
        <f t="shared" si="20"/>
        <v>-0.65274974030657562</v>
      </c>
      <c r="BN59">
        <f t="shared" si="21"/>
        <v>-0.38077068184550245</v>
      </c>
      <c r="BO59">
        <f t="shared" si="22"/>
        <v>-0.19038534092275122</v>
      </c>
      <c r="BP59">
        <f t="shared" si="23"/>
        <v>0.48956230522993172</v>
      </c>
      <c r="BQ59">
        <f t="shared" si="24"/>
        <v>1.0063225163059708</v>
      </c>
    </row>
    <row r="60" spans="1:126" ht="14.5" x14ac:dyDescent="0.35">
      <c r="A60" s="25" t="s">
        <v>103</v>
      </c>
      <c r="B60" s="25">
        <f>(B22*B23*25)/B24</f>
        <v>242403.31491712699</v>
      </c>
      <c r="AU60"/>
      <c r="AV60"/>
      <c r="AW60"/>
    </row>
    <row r="61" spans="1:126" ht="14.5" x14ac:dyDescent="0.35">
      <c r="AU61"/>
      <c r="AV61"/>
      <c r="AW61"/>
    </row>
    <row r="62" spans="1:126" ht="14.5" x14ac:dyDescent="0.35">
      <c r="AU62"/>
      <c r="AV62"/>
      <c r="AW62"/>
    </row>
    <row r="63" spans="1:126" ht="20" thickBot="1" x14ac:dyDescent="0.5">
      <c r="A63" s="14" t="s">
        <v>64</v>
      </c>
      <c r="AT63" s="26" t="s">
        <v>98</v>
      </c>
      <c r="AU63" s="27" t="s">
        <v>69</v>
      </c>
      <c r="AV63" s="28" t="s">
        <v>70</v>
      </c>
      <c r="AW63" s="27" t="s">
        <v>71</v>
      </c>
    </row>
    <row r="64" spans="1:126" s="1" customFormat="1" ht="17" thickTop="1" x14ac:dyDescent="0.45">
      <c r="A64" s="2">
        <v>68.599999999999994</v>
      </c>
      <c r="B64" s="3">
        <v>-16.55</v>
      </c>
      <c r="C64" s="4">
        <v>0.69</v>
      </c>
      <c r="D64" s="5">
        <v>0.06</v>
      </c>
      <c r="E64" s="6">
        <v>355.8</v>
      </c>
      <c r="F64" s="7">
        <v>-4.2</v>
      </c>
      <c r="G64" s="8">
        <v>531</v>
      </c>
      <c r="H64" s="9">
        <v>530</v>
      </c>
      <c r="I64" s="7">
        <v>99.4</v>
      </c>
      <c r="J64" s="12">
        <v>-0.01</v>
      </c>
      <c r="K64" s="10">
        <v>0.03</v>
      </c>
      <c r="L64" s="10">
        <v>-0.1</v>
      </c>
      <c r="M64" s="10">
        <v>-0.27</v>
      </c>
      <c r="N64" s="10">
        <v>-1.1399999999999999</v>
      </c>
      <c r="O64" s="10">
        <v>-0.48</v>
      </c>
      <c r="P64" s="10">
        <v>-0.84</v>
      </c>
      <c r="Q64" s="10">
        <v>-0.53</v>
      </c>
      <c r="R64" s="10">
        <v>-0.93</v>
      </c>
      <c r="S64" s="10">
        <v>-0.6</v>
      </c>
      <c r="T64" s="10">
        <v>-0.59</v>
      </c>
      <c r="U64" s="10">
        <v>-0.54</v>
      </c>
      <c r="V64" s="10">
        <v>-0.73</v>
      </c>
      <c r="W64" s="10">
        <v>-0.51</v>
      </c>
      <c r="X64" s="10">
        <v>-0.67</v>
      </c>
      <c r="Y64" s="10">
        <v>-0.54</v>
      </c>
      <c r="Z64" s="10">
        <v>-0.61</v>
      </c>
      <c r="AA64" s="10">
        <v>-0.36</v>
      </c>
      <c r="AB64" s="10">
        <v>-0.19</v>
      </c>
      <c r="AC64" s="10">
        <v>0.02</v>
      </c>
      <c r="AD64" s="10">
        <v>0.03</v>
      </c>
      <c r="AE64" s="10">
        <v>0.02</v>
      </c>
      <c r="AF64" s="10">
        <v>0.01</v>
      </c>
      <c r="AG64" s="10">
        <v>0.03</v>
      </c>
      <c r="AH64" s="10">
        <v>0.02</v>
      </c>
      <c r="AI64" s="10">
        <v>0.02</v>
      </c>
      <c r="AJ64" s="10">
        <v>0.01</v>
      </c>
      <c r="AK64" s="10">
        <v>0.02</v>
      </c>
      <c r="AL64" s="10">
        <v>0.02</v>
      </c>
      <c r="AM64" s="10">
        <v>0.02</v>
      </c>
      <c r="AN64" s="10">
        <v>-0.52</v>
      </c>
      <c r="AO64" s="11">
        <v>0</v>
      </c>
      <c r="AP64" s="6">
        <v>22.8</v>
      </c>
      <c r="AQ64" s="10">
        <v>1.17</v>
      </c>
      <c r="AR64" s="10">
        <v>30.12</v>
      </c>
      <c r="AS64" s="11">
        <v>30.09</v>
      </c>
      <c r="AT64" s="23">
        <f t="shared" si="1"/>
        <v>-23.985507246376816</v>
      </c>
      <c r="AU64" s="22">
        <f>B64/(0.5*AQ64*(AR64^2)*0.15*0.3)</f>
        <v>-0.69297837646017901</v>
      </c>
      <c r="AV64" s="23">
        <f>C64/(0.5*AQ64*(AR64^2)*0.15*0.3)</f>
        <v>2.8891545604684196E-2</v>
      </c>
      <c r="AW64" s="22">
        <f>D64/(0.5*AQ64*((AR64)^2)*0.15*0.3*0.15)</f>
        <v>1.6748722089672E-2</v>
      </c>
      <c r="AX64">
        <f t="shared" si="5"/>
        <v>0.9609579298949309</v>
      </c>
      <c r="AY64">
        <f t="shared" si="6"/>
        <v>1.036327179298455</v>
      </c>
      <c r="AZ64">
        <f t="shared" si="7"/>
        <v>0.79137711873700201</v>
      </c>
      <c r="BA64">
        <f t="shared" si="8"/>
        <v>0.47105780877202497</v>
      </c>
      <c r="BB64">
        <f t="shared" si="9"/>
        <v>-1.1682233657546217</v>
      </c>
      <c r="BC64">
        <f t="shared" si="10"/>
        <v>7.5369249403524061E-2</v>
      </c>
      <c r="BD64">
        <f t="shared" si="11"/>
        <v>-0.60295399522819182</v>
      </c>
      <c r="BE64">
        <f t="shared" si="12"/>
        <v>-1.8842312350881015E-2</v>
      </c>
      <c r="BF64">
        <f t="shared" si="13"/>
        <v>-0.77253480638612104</v>
      </c>
      <c r="BG64">
        <f t="shared" si="14"/>
        <v>-0.1507384988070479</v>
      </c>
      <c r="BH64">
        <f t="shared" si="15"/>
        <v>-0.13189618645616691</v>
      </c>
      <c r="BI64">
        <f t="shared" si="16"/>
        <v>-3.768462470176203E-2</v>
      </c>
      <c r="BJ64">
        <f t="shared" si="17"/>
        <v>-0.39568855936850089</v>
      </c>
      <c r="BK64">
        <f t="shared" si="18"/>
        <v>1.8842312350881015E-2</v>
      </c>
      <c r="BL64">
        <f t="shared" si="19"/>
        <v>-0.28263468526321506</v>
      </c>
      <c r="BM64">
        <f t="shared" si="20"/>
        <v>-3.768462470176203E-2</v>
      </c>
      <c r="BN64">
        <f t="shared" si="21"/>
        <v>-0.16958081115792895</v>
      </c>
      <c r="BO64">
        <f t="shared" si="22"/>
        <v>0.30147699761409602</v>
      </c>
      <c r="BP64">
        <f t="shared" si="23"/>
        <v>0.621796307579073</v>
      </c>
      <c r="BQ64">
        <f t="shared" si="24"/>
        <v>1.017484866947574</v>
      </c>
    </row>
    <row r="65" spans="1:125" s="1" customFormat="1" ht="16.5" x14ac:dyDescent="0.45">
      <c r="A65" s="2">
        <v>278.60000000000002</v>
      </c>
      <c r="B65" s="3">
        <v>-7.03</v>
      </c>
      <c r="C65" s="4">
        <v>0.55000000000000004</v>
      </c>
      <c r="D65" s="5">
        <v>0.03</v>
      </c>
      <c r="E65" s="6">
        <v>358.1</v>
      </c>
      <c r="F65" s="7">
        <v>-1.9</v>
      </c>
      <c r="G65" s="8">
        <v>533</v>
      </c>
      <c r="H65" s="9">
        <v>518</v>
      </c>
      <c r="I65" s="7">
        <v>99.4</v>
      </c>
      <c r="J65" s="12">
        <v>0.01</v>
      </c>
      <c r="K65" s="10">
        <v>0.03</v>
      </c>
      <c r="L65" s="10">
        <v>-0.05</v>
      </c>
      <c r="M65" s="10">
        <v>-0.43</v>
      </c>
      <c r="N65" s="10">
        <v>-0.91</v>
      </c>
      <c r="O65" s="10">
        <v>-0.61</v>
      </c>
      <c r="P65" s="10">
        <v>-0.7</v>
      </c>
      <c r="Q65" s="10">
        <v>-0.66</v>
      </c>
      <c r="R65" s="10">
        <v>-0.81</v>
      </c>
      <c r="S65" s="10">
        <v>-0.59</v>
      </c>
      <c r="T65" s="10">
        <v>-0.56999999999999995</v>
      </c>
      <c r="U65" s="10">
        <v>-0.61</v>
      </c>
      <c r="V65" s="10">
        <v>-0.72</v>
      </c>
      <c r="W65" s="10">
        <v>-0.54</v>
      </c>
      <c r="X65" s="10">
        <v>-0.63</v>
      </c>
      <c r="Y65" s="10">
        <v>-0.57999999999999996</v>
      </c>
      <c r="Z65" s="10">
        <v>-0.57999999999999996</v>
      </c>
      <c r="AA65" s="10">
        <v>-0.39</v>
      </c>
      <c r="AB65" s="10">
        <v>-0.18</v>
      </c>
      <c r="AC65" s="10">
        <v>0.01</v>
      </c>
      <c r="AD65" s="10">
        <v>0.02</v>
      </c>
      <c r="AE65" s="10">
        <v>0.02</v>
      </c>
      <c r="AF65" s="10">
        <v>0.01</v>
      </c>
      <c r="AG65" s="10">
        <v>0.03</v>
      </c>
      <c r="AH65" s="10">
        <v>0.02</v>
      </c>
      <c r="AI65" s="10">
        <v>0.02</v>
      </c>
      <c r="AJ65" s="10">
        <v>0.01</v>
      </c>
      <c r="AK65" s="10">
        <v>0.02</v>
      </c>
      <c r="AL65" s="10">
        <v>0.02</v>
      </c>
      <c r="AM65" s="10">
        <v>0.02</v>
      </c>
      <c r="AN65" s="10">
        <v>-0.51</v>
      </c>
      <c r="AO65" s="11">
        <v>0</v>
      </c>
      <c r="AP65" s="6">
        <v>22.8</v>
      </c>
      <c r="AQ65" s="10">
        <v>1.17</v>
      </c>
      <c r="AR65" s="10">
        <v>30.17</v>
      </c>
      <c r="AS65" s="11">
        <v>29.75</v>
      </c>
      <c r="AT65" s="23">
        <f t="shared" si="1"/>
        <v>-12.781818181818181</v>
      </c>
      <c r="AU65" s="22">
        <f t="shared" ref="AU65:AU77" si="31">B65/(0.5*AQ65*(AR65^2)*0.15*0.3)</f>
        <v>-0.29338393201226687</v>
      </c>
      <c r="AV65" s="23">
        <f t="shared" ref="AV65:AV77" si="32">C65/(0.5*AQ65*(AR65^2)*0.15*0.3)</f>
        <v>2.2953223699394988E-2</v>
      </c>
      <c r="AW65" s="22">
        <f t="shared" ref="AW65:AW77" si="33">D65/(0.5*AQ65*(AR65^2)*0.15*0.3*0.15)</f>
        <v>8.3466267997799951E-3</v>
      </c>
      <c r="AX65">
        <f t="shared" si="5"/>
        <v>0.97655533557425933</v>
      </c>
      <c r="AY65">
        <f t="shared" si="6"/>
        <v>1.0141151561732693</v>
      </c>
      <c r="AZ65">
        <f t="shared" si="7"/>
        <v>0.86387587377722941</v>
      </c>
      <c r="BA65">
        <f t="shared" si="8"/>
        <v>0.15023928239603992</v>
      </c>
      <c r="BB65">
        <f t="shared" si="9"/>
        <v>-0.75119641198019949</v>
      </c>
      <c r="BC65">
        <f t="shared" si="10"/>
        <v>-0.18779910299504982</v>
      </c>
      <c r="BD65">
        <f t="shared" si="11"/>
        <v>-0.35681829569059464</v>
      </c>
      <c r="BE65">
        <f t="shared" si="12"/>
        <v>-0.28169865449257486</v>
      </c>
      <c r="BF65">
        <f t="shared" si="13"/>
        <v>-0.56339730898514973</v>
      </c>
      <c r="BG65">
        <f t="shared" si="14"/>
        <v>-0.15023928239603981</v>
      </c>
      <c r="BH65">
        <f t="shared" si="15"/>
        <v>-0.11267946179702981</v>
      </c>
      <c r="BI65">
        <f t="shared" si="16"/>
        <v>-0.18779910299504982</v>
      </c>
      <c r="BJ65">
        <f t="shared" si="17"/>
        <v>-0.39437811628960467</v>
      </c>
      <c r="BK65">
        <f t="shared" si="18"/>
        <v>-5.633973089851501E-2</v>
      </c>
      <c r="BL65">
        <f t="shared" si="19"/>
        <v>-0.22535892359405985</v>
      </c>
      <c r="BM65">
        <f t="shared" si="20"/>
        <v>-0.13145937209653483</v>
      </c>
      <c r="BN65">
        <f t="shared" si="21"/>
        <v>-0.13145937209653483</v>
      </c>
      <c r="BO65">
        <f t="shared" si="22"/>
        <v>0.22535892359405985</v>
      </c>
      <c r="BP65">
        <f t="shared" si="23"/>
        <v>0.61973703988366458</v>
      </c>
      <c r="BQ65">
        <f t="shared" si="24"/>
        <v>0.97655533557425933</v>
      </c>
    </row>
    <row r="66" spans="1:125" s="1" customFormat="1" ht="16.5" x14ac:dyDescent="0.45">
      <c r="A66" s="2">
        <v>101.3</v>
      </c>
      <c r="B66" s="3">
        <v>3.49</v>
      </c>
      <c r="C66" s="4">
        <v>0.4</v>
      </c>
      <c r="D66" s="5">
        <v>0.04</v>
      </c>
      <c r="E66" s="6">
        <v>0.4</v>
      </c>
      <c r="F66" s="7">
        <v>0.4</v>
      </c>
      <c r="G66" s="8">
        <v>528</v>
      </c>
      <c r="H66" s="9">
        <v>508</v>
      </c>
      <c r="I66" s="7">
        <v>99.4</v>
      </c>
      <c r="J66" s="12">
        <v>0.02</v>
      </c>
      <c r="K66" s="10">
        <v>0.03</v>
      </c>
      <c r="L66" s="10">
        <v>-0.03</v>
      </c>
      <c r="M66" s="10">
        <v>-0.56999999999999995</v>
      </c>
      <c r="N66" s="10">
        <v>-0.77</v>
      </c>
      <c r="O66" s="10">
        <v>-0.72</v>
      </c>
      <c r="P66" s="10">
        <v>-0.61</v>
      </c>
      <c r="Q66" s="10">
        <v>-0.76</v>
      </c>
      <c r="R66" s="10">
        <v>-0.76</v>
      </c>
      <c r="S66" s="10">
        <v>-0.59</v>
      </c>
      <c r="T66" s="10">
        <v>-0.54</v>
      </c>
      <c r="U66" s="10">
        <v>-0.67</v>
      </c>
      <c r="V66" s="10">
        <v>-0.68</v>
      </c>
      <c r="W66" s="10">
        <v>-0.56999999999999995</v>
      </c>
      <c r="X66" s="10">
        <v>-0.64</v>
      </c>
      <c r="Y66" s="10">
        <v>-0.61</v>
      </c>
      <c r="Z66" s="10">
        <v>-0.6</v>
      </c>
      <c r="AA66" s="10">
        <v>-0.41</v>
      </c>
      <c r="AB66" s="10">
        <v>-0.18</v>
      </c>
      <c r="AC66" s="10">
        <v>0.02</v>
      </c>
      <c r="AD66" s="10">
        <v>0.02</v>
      </c>
      <c r="AE66" s="10">
        <v>0.02</v>
      </c>
      <c r="AF66" s="10">
        <v>0.01</v>
      </c>
      <c r="AG66" s="10">
        <v>0.03</v>
      </c>
      <c r="AH66" s="10">
        <v>0.02</v>
      </c>
      <c r="AI66" s="10">
        <v>0.02</v>
      </c>
      <c r="AJ66" s="10">
        <v>0.01</v>
      </c>
      <c r="AK66" s="10">
        <v>0.02</v>
      </c>
      <c r="AL66" s="10">
        <v>0.02</v>
      </c>
      <c r="AM66" s="10">
        <v>0.03</v>
      </c>
      <c r="AN66" s="10">
        <v>-0.52</v>
      </c>
      <c r="AO66" s="11">
        <v>0</v>
      </c>
      <c r="AP66" s="6">
        <v>22.8</v>
      </c>
      <c r="AQ66" s="10">
        <v>1.17</v>
      </c>
      <c r="AR66" s="10">
        <v>30.03</v>
      </c>
      <c r="AS66" s="11">
        <v>29.46</v>
      </c>
      <c r="AT66" s="23">
        <f t="shared" si="1"/>
        <v>8.7249999999999996</v>
      </c>
      <c r="AU66" s="22">
        <f t="shared" si="31"/>
        <v>0.14700983248105645</v>
      </c>
      <c r="AV66" s="23">
        <f t="shared" si="32"/>
        <v>1.6849264467742861E-2</v>
      </c>
      <c r="AW66" s="22">
        <f t="shared" si="33"/>
        <v>1.123284297849524E-2</v>
      </c>
      <c r="AX66">
        <f t="shared" si="5"/>
        <v>1.0235928164153785</v>
      </c>
      <c r="AY66">
        <f t="shared" si="6"/>
        <v>1.0425482389415892</v>
      </c>
      <c r="AZ66">
        <f t="shared" si="7"/>
        <v>0.92881570378432499</v>
      </c>
      <c r="BA66">
        <f t="shared" si="8"/>
        <v>-9.4777112631053442E-2</v>
      </c>
      <c r="BB66">
        <v>-0.17388556299999999</v>
      </c>
      <c r="BC66">
        <f t="shared" si="10"/>
        <v>-0.37910845052421416</v>
      </c>
      <c r="BD66">
        <v>-0.36059880300000002</v>
      </c>
      <c r="BE66">
        <f t="shared" si="12"/>
        <v>-0.45493014062905712</v>
      </c>
      <c r="BF66">
        <v>-0.444930141</v>
      </c>
      <c r="BG66">
        <v>-0.46268795800000001</v>
      </c>
      <c r="BH66">
        <v>-0.377910845</v>
      </c>
      <c r="BI66">
        <v>-0.38433133800000002</v>
      </c>
      <c r="BJ66">
        <f t="shared" si="17"/>
        <v>-0.30328676041937147</v>
      </c>
      <c r="BK66">
        <v>-0.29477711299999998</v>
      </c>
      <c r="BL66">
        <f t="shared" si="19"/>
        <v>-0.22746507031452856</v>
      </c>
      <c r="BM66">
        <v>-0.19059880300000001</v>
      </c>
      <c r="BN66">
        <v>-0.10164338000000001</v>
      </c>
      <c r="BO66">
        <v>-8.5096480000000002E-2</v>
      </c>
      <c r="BP66">
        <f t="shared" si="23"/>
        <v>0.6444843658911642</v>
      </c>
      <c r="BQ66">
        <v>0.73359281600000004</v>
      </c>
    </row>
    <row r="67" spans="1:125" s="1" customFormat="1" ht="17.5" customHeight="1" x14ac:dyDescent="0.45">
      <c r="A67" s="2">
        <v>512.79999999999995</v>
      </c>
      <c r="B67" s="3">
        <v>9.06</v>
      </c>
      <c r="C67" s="4">
        <v>0.49</v>
      </c>
      <c r="D67" s="5">
        <v>4.4999999999999998E-2</v>
      </c>
      <c r="E67" s="6">
        <v>2.1</v>
      </c>
      <c r="F67" s="7">
        <v>2.1</v>
      </c>
      <c r="G67" s="8">
        <v>535</v>
      </c>
      <c r="H67" s="9">
        <v>504</v>
      </c>
      <c r="I67" s="7">
        <v>99.4</v>
      </c>
      <c r="J67" s="12">
        <v>0.02</v>
      </c>
      <c r="K67" s="10">
        <v>0.03</v>
      </c>
      <c r="L67" s="10">
        <v>-0.03</v>
      </c>
      <c r="M67" s="10">
        <v>-0.56999999999999995</v>
      </c>
      <c r="N67" s="10">
        <v>-0.77</v>
      </c>
      <c r="O67" s="10">
        <v>-0.73</v>
      </c>
      <c r="P67" s="10">
        <v>-0.6</v>
      </c>
      <c r="Q67" s="10">
        <v>-0.76</v>
      </c>
      <c r="R67" s="10">
        <v>-0.76</v>
      </c>
      <c r="S67" s="10">
        <v>-0.68</v>
      </c>
      <c r="T67" s="10">
        <v>-0.54</v>
      </c>
      <c r="U67" s="10">
        <v>-0.67</v>
      </c>
      <c r="V67" s="10">
        <v>-0.68</v>
      </c>
      <c r="W67" s="10">
        <v>-0.56999999999999995</v>
      </c>
      <c r="X67" s="10">
        <v>-0.64</v>
      </c>
      <c r="Y67" s="10">
        <v>-0.61</v>
      </c>
      <c r="Z67" s="10">
        <v>-0.6</v>
      </c>
      <c r="AA67" s="10">
        <v>-0.41</v>
      </c>
      <c r="AB67" s="10">
        <v>-0.18</v>
      </c>
      <c r="AC67" s="10">
        <v>0.02</v>
      </c>
      <c r="AD67" s="10">
        <v>0.03</v>
      </c>
      <c r="AE67" s="10">
        <v>0.02</v>
      </c>
      <c r="AF67" s="10">
        <v>0.01</v>
      </c>
      <c r="AG67" s="10">
        <v>0.03</v>
      </c>
      <c r="AH67" s="10">
        <v>0.02</v>
      </c>
      <c r="AI67" s="10">
        <v>0.02</v>
      </c>
      <c r="AJ67" s="10">
        <v>0.01</v>
      </c>
      <c r="AK67" s="10">
        <v>0.02</v>
      </c>
      <c r="AL67" s="10">
        <v>0.02</v>
      </c>
      <c r="AM67" s="10">
        <v>0.02</v>
      </c>
      <c r="AN67" s="10">
        <v>-0.52</v>
      </c>
      <c r="AO67" s="11">
        <v>0</v>
      </c>
      <c r="AP67" s="6">
        <v>22.8</v>
      </c>
      <c r="AQ67" s="10">
        <v>1.17</v>
      </c>
      <c r="AR67" s="10">
        <v>30.23</v>
      </c>
      <c r="AS67" s="11">
        <v>29.34</v>
      </c>
      <c r="AT67" s="23">
        <f t="shared" si="1"/>
        <v>18.489795918367349</v>
      </c>
      <c r="AU67" s="22">
        <f t="shared" si="31"/>
        <v>0.37660278165068378</v>
      </c>
      <c r="AV67" s="23">
        <f t="shared" si="32"/>
        <v>2.0368141612454198E-2</v>
      </c>
      <c r="AW67" s="22">
        <f t="shared" si="33"/>
        <v>1.2470290783135225E-2</v>
      </c>
      <c r="AX67">
        <f t="shared" si="5"/>
        <v>1.0100935534339532</v>
      </c>
      <c r="AY67">
        <f t="shared" si="6"/>
        <v>1.028798989608656</v>
      </c>
      <c r="AZ67">
        <f t="shared" si="7"/>
        <v>0.91656637256043894</v>
      </c>
      <c r="BA67">
        <f t="shared" si="8"/>
        <v>-9.3527180873514068E-2</v>
      </c>
      <c r="BB67">
        <f t="shared" si="9"/>
        <v>-0.46763590436757091</v>
      </c>
      <c r="BC67">
        <f t="shared" si="10"/>
        <v>-0.39281415966875949</v>
      </c>
      <c r="BD67">
        <f t="shared" si="11"/>
        <v>-0.14964348939762262</v>
      </c>
      <c r="BE67">
        <f t="shared" si="12"/>
        <v>-0.44893046819286808</v>
      </c>
      <c r="BF67">
        <f t="shared" si="13"/>
        <v>-0.44893046819286808</v>
      </c>
      <c r="BG67">
        <f t="shared" si="14"/>
        <v>-0.29928697879524546</v>
      </c>
      <c r="BH67">
        <f t="shared" si="15"/>
        <v>-3.7410872349405704E-2</v>
      </c>
      <c r="BI67">
        <f t="shared" si="16"/>
        <v>-0.28058154262054258</v>
      </c>
      <c r="BJ67">
        <f t="shared" si="17"/>
        <v>-0.29928697879524546</v>
      </c>
      <c r="BK67">
        <f t="shared" si="18"/>
        <v>-9.3527180873514068E-2</v>
      </c>
      <c r="BL67">
        <f t="shared" si="19"/>
        <v>-0.22446523409643404</v>
      </c>
      <c r="BM67">
        <f t="shared" si="20"/>
        <v>-0.16834892557232548</v>
      </c>
      <c r="BN67">
        <f t="shared" si="21"/>
        <v>-0.14964348939762262</v>
      </c>
      <c r="BO67">
        <f t="shared" si="22"/>
        <v>0.20575979792173127</v>
      </c>
      <c r="BP67">
        <f t="shared" si="23"/>
        <v>0.63598482993989647</v>
      </c>
      <c r="BQ67">
        <f t="shared" si="24"/>
        <v>1.0100935534339532</v>
      </c>
      <c r="DU67" s="19"/>
    </row>
    <row r="68" spans="1:125" s="1" customFormat="1" ht="16.5" x14ac:dyDescent="0.45">
      <c r="A68" s="2">
        <v>805</v>
      </c>
      <c r="B68" s="3">
        <v>15.43</v>
      </c>
      <c r="C68" s="4">
        <v>0.61</v>
      </c>
      <c r="D68" s="5">
        <v>0.03</v>
      </c>
      <c r="E68" s="6">
        <v>4.0999999999999996</v>
      </c>
      <c r="F68" s="7">
        <v>4.0999999999999996</v>
      </c>
      <c r="G68" s="8">
        <v>527</v>
      </c>
      <c r="H68" s="9">
        <v>496</v>
      </c>
      <c r="I68" s="7">
        <v>99.4</v>
      </c>
      <c r="J68" s="12">
        <v>0.02</v>
      </c>
      <c r="K68" s="10">
        <v>0</v>
      </c>
      <c r="L68" s="10">
        <v>0</v>
      </c>
      <c r="M68" s="10">
        <v>-0.74</v>
      </c>
      <c r="N68" s="10">
        <v>-0.62</v>
      </c>
      <c r="O68" s="10">
        <v>-0.84</v>
      </c>
      <c r="P68" s="10">
        <v>-0.52</v>
      </c>
      <c r="Q68" s="10">
        <v>-0.87</v>
      </c>
      <c r="R68" s="10">
        <v>-0.68</v>
      </c>
      <c r="S68" s="10">
        <v>-0.67</v>
      </c>
      <c r="T68" s="10">
        <v>-0.5</v>
      </c>
      <c r="U68" s="10">
        <v>-0.71</v>
      </c>
      <c r="V68" s="10">
        <v>-0.65</v>
      </c>
      <c r="W68" s="10">
        <v>-0.6</v>
      </c>
      <c r="X68" s="10">
        <v>-0.61</v>
      </c>
      <c r="Y68" s="10">
        <v>-0.63</v>
      </c>
      <c r="Z68" s="10">
        <v>-0.59</v>
      </c>
      <c r="AA68" s="10">
        <v>-0.4</v>
      </c>
      <c r="AB68" s="10">
        <v>-0.19</v>
      </c>
      <c r="AC68" s="10">
        <v>0.02</v>
      </c>
      <c r="AD68" s="10">
        <v>0.03</v>
      </c>
      <c r="AE68" s="10">
        <v>0.02</v>
      </c>
      <c r="AF68" s="10">
        <v>0.01</v>
      </c>
      <c r="AG68" s="10">
        <v>0.03</v>
      </c>
      <c r="AH68" s="10">
        <v>0.02</v>
      </c>
      <c r="AI68" s="10">
        <v>0.02</v>
      </c>
      <c r="AJ68" s="10">
        <v>0.02</v>
      </c>
      <c r="AK68" s="10">
        <v>0.02</v>
      </c>
      <c r="AL68" s="10">
        <v>0.02</v>
      </c>
      <c r="AM68" s="10">
        <v>0.02</v>
      </c>
      <c r="AN68" s="10">
        <v>-0.52</v>
      </c>
      <c r="AO68" s="11">
        <v>0</v>
      </c>
      <c r="AP68" s="6">
        <v>22.8</v>
      </c>
      <c r="AQ68" s="10">
        <v>1.17</v>
      </c>
      <c r="AR68" s="10">
        <v>30</v>
      </c>
      <c r="AS68" s="11">
        <v>29.11</v>
      </c>
      <c r="AT68" s="23">
        <f t="shared" si="1"/>
        <v>25.295081967213115</v>
      </c>
      <c r="AU68" s="22">
        <f t="shared" si="31"/>
        <v>0.65126094755724384</v>
      </c>
      <c r="AV68" s="23">
        <f t="shared" si="32"/>
        <v>2.5746544265062784E-2</v>
      </c>
      <c r="AW68" s="22">
        <f t="shared" si="33"/>
        <v>8.4414899229714041E-3</v>
      </c>
      <c r="AX68">
        <f t="shared" si="5"/>
        <v>1.0256410256410255</v>
      </c>
      <c r="AY68">
        <f t="shared" si="6"/>
        <v>0.98765432098765427</v>
      </c>
      <c r="AZ68">
        <f t="shared" si="7"/>
        <v>0.98765432098765427</v>
      </c>
      <c r="BA68">
        <f t="shared" si="8"/>
        <v>-0.41785375118708445</v>
      </c>
      <c r="BB68">
        <f t="shared" si="9"/>
        <v>-0.18993352326685656</v>
      </c>
      <c r="BC68">
        <f t="shared" si="10"/>
        <v>-0.60778727445394098</v>
      </c>
      <c r="BD68">
        <f t="shared" si="11"/>
        <v>0</v>
      </c>
      <c r="BE68">
        <f t="shared" si="12"/>
        <v>-0.66476733143399813</v>
      </c>
      <c r="BF68">
        <f t="shared" si="13"/>
        <v>-0.3038936372269706</v>
      </c>
      <c r="BG68">
        <f t="shared" si="14"/>
        <v>-0.28490028490028496</v>
      </c>
      <c r="BH68">
        <f t="shared" si="15"/>
        <v>3.7986704653371353E-2</v>
      </c>
      <c r="BI68">
        <f t="shared" si="16"/>
        <v>-0.36087369420702742</v>
      </c>
      <c r="BJ68">
        <f t="shared" si="17"/>
        <v>-0.24691358024691357</v>
      </c>
      <c r="BK68">
        <f t="shared" si="18"/>
        <v>-0.15194681861348519</v>
      </c>
      <c r="BL68">
        <f t="shared" si="19"/>
        <v>-0.17094017094017089</v>
      </c>
      <c r="BM68">
        <f t="shared" si="20"/>
        <v>-0.20892687559354223</v>
      </c>
      <c r="BN68">
        <f t="shared" si="21"/>
        <v>-0.13295346628679955</v>
      </c>
      <c r="BO68">
        <f t="shared" si="22"/>
        <v>0.22792022792022792</v>
      </c>
      <c r="BP68">
        <f t="shared" si="23"/>
        <v>0.62678062678062674</v>
      </c>
      <c r="BQ68">
        <f t="shared" si="24"/>
        <v>1.0256410256410255</v>
      </c>
    </row>
    <row r="69" spans="1:125" s="1" customFormat="1" ht="16.5" x14ac:dyDescent="0.45">
      <c r="A69" s="2">
        <v>1062.9000000000001</v>
      </c>
      <c r="B69" s="3">
        <v>20.57</v>
      </c>
      <c r="C69" s="4">
        <v>0.73</v>
      </c>
      <c r="D69" s="5">
        <v>0.05</v>
      </c>
      <c r="E69" s="6">
        <v>6.1</v>
      </c>
      <c r="F69" s="7">
        <v>6.1</v>
      </c>
      <c r="G69" s="8">
        <v>533</v>
      </c>
      <c r="H69" s="9">
        <v>500</v>
      </c>
      <c r="I69" s="7">
        <v>99.4</v>
      </c>
      <c r="J69" s="12">
        <v>0.02</v>
      </c>
      <c r="K69" s="10">
        <v>-0.08</v>
      </c>
      <c r="L69" s="10">
        <v>0.02</v>
      </c>
      <c r="M69" s="10">
        <v>-1.01</v>
      </c>
      <c r="N69" s="10">
        <v>-0.45</v>
      </c>
      <c r="O69" s="10">
        <v>-1.06</v>
      </c>
      <c r="P69" s="10">
        <v>-0.4</v>
      </c>
      <c r="Q69" s="10">
        <v>-1.03</v>
      </c>
      <c r="R69" s="10">
        <v>-0.6</v>
      </c>
      <c r="S69" s="10">
        <v>-0.82</v>
      </c>
      <c r="T69" s="10">
        <v>-0.45</v>
      </c>
      <c r="U69" s="10">
        <v>-0.76</v>
      </c>
      <c r="V69" s="10">
        <v>-0.6</v>
      </c>
      <c r="W69" s="10">
        <v>-0.6</v>
      </c>
      <c r="X69" s="10">
        <v>-0.57999999999999996</v>
      </c>
      <c r="Y69" s="10">
        <v>-0.66</v>
      </c>
      <c r="Z69" s="10">
        <v>-0.56000000000000005</v>
      </c>
      <c r="AA69" s="10">
        <v>-0.44</v>
      </c>
      <c r="AB69" s="10">
        <v>-0.18</v>
      </c>
      <c r="AC69" s="10">
        <v>0.02</v>
      </c>
      <c r="AD69" s="10">
        <v>0.03</v>
      </c>
      <c r="AE69" s="10">
        <v>0.02</v>
      </c>
      <c r="AF69" s="10">
        <v>0.01</v>
      </c>
      <c r="AG69" s="10">
        <v>0.03</v>
      </c>
      <c r="AH69" s="10">
        <v>0.02</v>
      </c>
      <c r="AI69" s="10">
        <v>0.02</v>
      </c>
      <c r="AJ69" s="10">
        <v>0.02</v>
      </c>
      <c r="AK69" s="10">
        <v>0.02</v>
      </c>
      <c r="AL69" s="10">
        <v>0.02</v>
      </c>
      <c r="AM69" s="10">
        <v>0.02</v>
      </c>
      <c r="AN69" s="10">
        <v>-0.52</v>
      </c>
      <c r="AO69" s="11">
        <v>0</v>
      </c>
      <c r="AP69" s="6">
        <v>22.8</v>
      </c>
      <c r="AQ69" s="10">
        <v>1.17</v>
      </c>
      <c r="AR69" s="10">
        <v>30.17</v>
      </c>
      <c r="AS69" s="11">
        <v>29.22</v>
      </c>
      <c r="AT69" s="23">
        <f t="shared" si="1"/>
        <v>28.178082191780824</v>
      </c>
      <c r="AU69" s="22">
        <f t="shared" si="31"/>
        <v>0.85845056635737249</v>
      </c>
      <c r="AV69" s="23">
        <f t="shared" si="32"/>
        <v>3.0465187819196982E-2</v>
      </c>
      <c r="AW69" s="22">
        <f t="shared" si="33"/>
        <v>1.3911044666299993E-2</v>
      </c>
      <c r="AX69">
        <f t="shared" si="5"/>
        <v>1.0141151561732693</v>
      </c>
      <c r="AY69">
        <f t="shared" si="6"/>
        <v>0.82631605317821943</v>
      </c>
      <c r="AZ69">
        <f t="shared" si="7"/>
        <v>1.0141151561732693</v>
      </c>
      <c r="BA69">
        <f t="shared" si="8"/>
        <v>-0.92021560467574437</v>
      </c>
      <c r="BB69">
        <v>0.481459372</v>
      </c>
      <c r="BC69">
        <f t="shared" si="10"/>
        <v>-1.0141151561732693</v>
      </c>
      <c r="BD69">
        <f t="shared" si="11"/>
        <v>0.22535892359405985</v>
      </c>
      <c r="BE69">
        <f t="shared" si="12"/>
        <v>-0.95777542527475434</v>
      </c>
      <c r="BF69">
        <v>3.0239281999999999E-2</v>
      </c>
      <c r="BG69">
        <f t="shared" si="14"/>
        <v>-0.5633973089851495</v>
      </c>
      <c r="BH69">
        <v>9.1459371999999997E-2</v>
      </c>
      <c r="BI69">
        <f t="shared" si="16"/>
        <v>-0.45071784718811969</v>
      </c>
      <c r="BJ69">
        <v>4.5239281999999999E-2</v>
      </c>
      <c r="BK69">
        <v>-0.32023928200000001</v>
      </c>
      <c r="BL69">
        <v>0.11267946199999999</v>
      </c>
      <c r="BM69">
        <f t="shared" si="20"/>
        <v>-0.26291874419306982</v>
      </c>
      <c r="BN69">
        <v>0.75119641000000004</v>
      </c>
      <c r="BO69">
        <f t="shared" si="22"/>
        <v>0.15023928239603992</v>
      </c>
      <c r="BP69">
        <v>1.1385169500000001</v>
      </c>
      <c r="BQ69">
        <f t="shared" si="24"/>
        <v>1.0141151561732693</v>
      </c>
    </row>
    <row r="70" spans="1:125" s="1" customFormat="1" ht="16.5" x14ac:dyDescent="0.45">
      <c r="A70" s="2">
        <v>1275.5</v>
      </c>
      <c r="B70" s="3">
        <v>26.48</v>
      </c>
      <c r="C70" s="4">
        <v>0.94</v>
      </c>
      <c r="D70" s="5">
        <v>0.09</v>
      </c>
      <c r="E70" s="6">
        <v>8.1</v>
      </c>
      <c r="F70" s="7">
        <v>8.1</v>
      </c>
      <c r="G70" s="8">
        <v>533</v>
      </c>
      <c r="H70" s="9">
        <v>482</v>
      </c>
      <c r="I70" s="7">
        <v>99.4</v>
      </c>
      <c r="J70" s="12">
        <v>0.02</v>
      </c>
      <c r="K70" s="10">
        <v>-0.14000000000000001</v>
      </c>
      <c r="L70" s="10">
        <v>0.02</v>
      </c>
      <c r="M70" s="10">
        <v>-1.21</v>
      </c>
      <c r="N70" s="10">
        <v>-0.36</v>
      </c>
      <c r="O70" s="10">
        <v>-1.19</v>
      </c>
      <c r="P70" s="10">
        <v>-0.34</v>
      </c>
      <c r="Q70" s="10">
        <v>-1.1299999999999999</v>
      </c>
      <c r="R70" s="10">
        <v>-0.54</v>
      </c>
      <c r="S70" s="10">
        <v>-0.8</v>
      </c>
      <c r="T70" s="10">
        <v>-0.42</v>
      </c>
      <c r="U70" s="10">
        <v>-0.8</v>
      </c>
      <c r="V70" s="10">
        <v>-0.56999999999999995</v>
      </c>
      <c r="W70" s="10">
        <v>-0.64</v>
      </c>
      <c r="X70" s="10">
        <v>-0.55000000000000004</v>
      </c>
      <c r="Y70" s="10">
        <v>-0.68</v>
      </c>
      <c r="Z70" s="10">
        <v>-0.55000000000000004</v>
      </c>
      <c r="AA70" s="10">
        <v>-0.44</v>
      </c>
      <c r="AB70" s="10">
        <v>-0.18</v>
      </c>
      <c r="AC70" s="10">
        <v>0.02</v>
      </c>
      <c r="AD70" s="10">
        <v>0.03</v>
      </c>
      <c r="AE70" s="10">
        <v>0.02</v>
      </c>
      <c r="AF70" s="10">
        <v>0.01</v>
      </c>
      <c r="AG70" s="10">
        <v>0.03</v>
      </c>
      <c r="AH70" s="10">
        <v>0.02</v>
      </c>
      <c r="AI70" s="10">
        <v>0.02</v>
      </c>
      <c r="AJ70" s="10">
        <v>0.02</v>
      </c>
      <c r="AK70" s="10">
        <v>0.02</v>
      </c>
      <c r="AL70" s="10">
        <v>0.02</v>
      </c>
      <c r="AM70" s="10">
        <v>0.03</v>
      </c>
      <c r="AN70" s="10">
        <v>-0.52</v>
      </c>
      <c r="AO70" s="11">
        <v>0</v>
      </c>
      <c r="AP70" s="6">
        <v>22.8</v>
      </c>
      <c r="AQ70" s="10">
        <v>1.17</v>
      </c>
      <c r="AR70" s="10">
        <v>30.17</v>
      </c>
      <c r="AS70" s="11">
        <v>28.69</v>
      </c>
      <c r="AT70" s="23">
        <f t="shared" si="1"/>
        <v>28.170212765957448</v>
      </c>
      <c r="AU70" s="22">
        <f t="shared" si="31"/>
        <v>1.1050933882908713</v>
      </c>
      <c r="AV70" s="23">
        <f t="shared" si="32"/>
        <v>3.9229145958965976E-2</v>
      </c>
      <c r="AW70" s="22">
        <f t="shared" si="33"/>
        <v>2.5039880399339985E-2</v>
      </c>
      <c r="AX70">
        <f t="shared" si="5"/>
        <v>1.0141151561732693</v>
      </c>
      <c r="AY70">
        <f t="shared" si="6"/>
        <v>0.71363659138118951</v>
      </c>
      <c r="AZ70">
        <f t="shared" si="7"/>
        <v>1.0141151561732693</v>
      </c>
      <c r="BA70">
        <f t="shared" si="8"/>
        <v>-1.2958138106658441</v>
      </c>
      <c r="BB70">
        <f t="shared" si="9"/>
        <v>0.30047856479207985</v>
      </c>
      <c r="BC70">
        <f t="shared" si="10"/>
        <v>-1.2582539900668339</v>
      </c>
      <c r="BD70">
        <f t="shared" si="11"/>
        <v>0.33803838539108977</v>
      </c>
      <c r="BE70">
        <f t="shared" si="12"/>
        <v>-1.145574528269804</v>
      </c>
      <c r="BF70">
        <f t="shared" si="13"/>
        <v>-3.7559820599010009E-2</v>
      </c>
      <c r="BG70">
        <f t="shared" si="14"/>
        <v>-0.52583748838613964</v>
      </c>
      <c r="BH70">
        <f t="shared" si="15"/>
        <v>0.18779910299504993</v>
      </c>
      <c r="BI70">
        <f t="shared" si="16"/>
        <v>-0.52583748838613964</v>
      </c>
      <c r="BJ70">
        <f t="shared" si="17"/>
        <v>-9.3899551497524811E-2</v>
      </c>
      <c r="BK70">
        <f t="shared" si="18"/>
        <v>-0.22535892359405985</v>
      </c>
      <c r="BL70">
        <f t="shared" si="19"/>
        <v>-5.633973089851501E-2</v>
      </c>
      <c r="BM70">
        <f t="shared" si="20"/>
        <v>-0.30047856479207985</v>
      </c>
      <c r="BN70">
        <f t="shared" si="21"/>
        <v>-5.633973089851501E-2</v>
      </c>
      <c r="BO70">
        <f t="shared" si="22"/>
        <v>0.15023928239603992</v>
      </c>
      <c r="BP70">
        <f t="shared" si="23"/>
        <v>0.63851695018316956</v>
      </c>
      <c r="BQ70">
        <f t="shared" si="24"/>
        <v>1.0141151561732693</v>
      </c>
    </row>
    <row r="71" spans="1:125" s="1" customFormat="1" ht="16.5" x14ac:dyDescent="0.45">
      <c r="A71" s="2">
        <v>1459.6</v>
      </c>
      <c r="B71" s="3">
        <v>29.23</v>
      </c>
      <c r="C71" s="4">
        <v>1.46</v>
      </c>
      <c r="D71" s="5">
        <v>0.13</v>
      </c>
      <c r="E71" s="6">
        <v>10.1</v>
      </c>
      <c r="F71" s="7">
        <v>10.1</v>
      </c>
      <c r="G71" s="8">
        <v>530</v>
      </c>
      <c r="H71" s="9">
        <v>490</v>
      </c>
      <c r="I71" s="7">
        <v>99.4</v>
      </c>
      <c r="J71" s="12">
        <v>0.02</v>
      </c>
      <c r="K71" s="10">
        <v>-0.24</v>
      </c>
      <c r="L71" s="10">
        <v>0.03</v>
      </c>
      <c r="M71" s="10">
        <v>-1.57</v>
      </c>
      <c r="N71" s="10">
        <v>-0.25</v>
      </c>
      <c r="O71" s="10">
        <v>-1.27</v>
      </c>
      <c r="P71" s="10">
        <v>-0.26</v>
      </c>
      <c r="Q71" s="10">
        <v>-1.23</v>
      </c>
      <c r="R71" s="10">
        <v>-0.48</v>
      </c>
      <c r="S71" s="10">
        <v>-0.92</v>
      </c>
      <c r="T71" s="10">
        <v>-0.4</v>
      </c>
      <c r="U71" s="10">
        <v>-0.86</v>
      </c>
      <c r="V71" s="10">
        <v>-0.55000000000000004</v>
      </c>
      <c r="W71" s="10">
        <v>-0.65</v>
      </c>
      <c r="X71" s="10">
        <v>-0.55000000000000004</v>
      </c>
      <c r="Y71" s="10">
        <v>-0.71</v>
      </c>
      <c r="Z71" s="10">
        <v>-0.55000000000000004</v>
      </c>
      <c r="AA71" s="10">
        <v>-0.45</v>
      </c>
      <c r="AB71" s="10">
        <v>-0.18</v>
      </c>
      <c r="AC71" s="10">
        <v>0.02</v>
      </c>
      <c r="AD71" s="10">
        <v>0.03</v>
      </c>
      <c r="AE71" s="10">
        <v>0.02</v>
      </c>
      <c r="AF71" s="10">
        <v>0.01</v>
      </c>
      <c r="AG71" s="10">
        <v>0.03</v>
      </c>
      <c r="AH71" s="10">
        <v>0.02</v>
      </c>
      <c r="AI71" s="10">
        <v>0.02</v>
      </c>
      <c r="AJ71" s="10">
        <v>0.02</v>
      </c>
      <c r="AK71" s="10">
        <v>0.02</v>
      </c>
      <c r="AL71" s="10">
        <v>0.02</v>
      </c>
      <c r="AM71" s="10">
        <v>0.02</v>
      </c>
      <c r="AN71" s="10">
        <v>-0.52</v>
      </c>
      <c r="AO71" s="11">
        <v>0</v>
      </c>
      <c r="AP71" s="6">
        <v>22.8</v>
      </c>
      <c r="AQ71" s="10">
        <v>1.17</v>
      </c>
      <c r="AR71" s="10">
        <v>30.09</v>
      </c>
      <c r="AS71" s="11">
        <v>28.93</v>
      </c>
      <c r="AT71" s="23">
        <f t="shared" si="1"/>
        <v>20.020547945205479</v>
      </c>
      <c r="AU71" s="22">
        <f t="shared" si="31"/>
        <v>1.2263545875258284</v>
      </c>
      <c r="AV71" s="23">
        <f t="shared" si="32"/>
        <v>6.1254796366326018E-2</v>
      </c>
      <c r="AW71" s="22">
        <f t="shared" si="33"/>
        <v>3.6361294646677547E-2</v>
      </c>
      <c r="AX71">
        <f t="shared" ref="AX71:AX95" si="34">((J71-AN71)*10^3)/(0.5*AQ71*(AR71^2))</f>
        <v>1.0195147614395357</v>
      </c>
      <c r="AY71">
        <f t="shared" ref="AY71:AY95" si="35">((K71-AN71)*10^3)/(0.5*AQ71*(AR71^2))</f>
        <v>0.52863728370938889</v>
      </c>
      <c r="AZ71">
        <f t="shared" ref="AZ71:AZ95" si="36">((L71-AN71)*10^3)/(0.5*AQ71*(AR71^2))</f>
        <v>1.0383946644291566</v>
      </c>
      <c r="BA71">
        <f t="shared" ref="BA71:BA95" si="37">(M71-AN71)*10^3/(0.5*AQ71*(AR71^2))</f>
        <v>-1.9823898139102083</v>
      </c>
      <c r="BB71">
        <v>0.70975738099999996</v>
      </c>
      <c r="BC71">
        <f t="shared" ref="BC71:BC95" si="38">(O71-AN71)*10^3/(0.5*AQ71*(AR71^2))</f>
        <v>-1.4159927242215773</v>
      </c>
      <c r="BD71">
        <f t="shared" ref="BD71:BD95" si="39">(P71-AN71)*10^3/(0.5*AQ71*(AR71^2))</f>
        <v>0.49087747773014678</v>
      </c>
      <c r="BE71">
        <f t="shared" ref="BE71:BE95" si="40">(Q71-AN71)*10^3/(0.5*AQ71*(AR71^2))</f>
        <v>-1.3404731122630931</v>
      </c>
      <c r="BF71">
        <f t="shared" ref="BF71:BF95" si="41">(R71-AN71)*10^3/(0.5*AQ71*(AR71^2))</f>
        <v>7.5519611958484195E-2</v>
      </c>
      <c r="BG71">
        <f t="shared" ref="BG71:BG95" si="42">(S71-AN71)*10^3/(0.5*AQ71*(AR71^2))</f>
        <v>-0.75519611958484123</v>
      </c>
      <c r="BH71">
        <v>3.6558835999999997E-2</v>
      </c>
      <c r="BI71">
        <f t="shared" ref="BI71:BI95" si="43">(U71-AN71)*10^3/(0.5*AQ71*(AR71^2))</f>
        <v>-0.6419167016471149</v>
      </c>
      <c r="BJ71">
        <f t="shared" ref="BJ71:BJ95" si="44">(V71-AN71)*10^3/(0.5*AQ71*(AR71^2))</f>
        <v>-5.6639708968863146E-2</v>
      </c>
      <c r="BK71">
        <v>-0.44543873899999997</v>
      </c>
      <c r="BL71">
        <f t="shared" ref="BL71:BL95" si="45">(X71-AN71)*10^3/(0.5*AQ71*(AR71^2))</f>
        <v>-5.6639708968863146E-2</v>
      </c>
      <c r="BM71">
        <f t="shared" ref="BM71:BM95" si="46">(Y71-AN71)*10^3/(0.5*AQ71*(AR71^2))</f>
        <v>-0.35871815680279945</v>
      </c>
      <c r="BN71">
        <v>0.35663970900000003</v>
      </c>
      <c r="BO71">
        <v>-0.132159321</v>
      </c>
      <c r="BP71">
        <f t="shared" ref="BP71:BP95" si="47">(AB71-AN71)*10^3/(0.5*AQ71*(AR71^2))</f>
        <v>0.64191670164711501</v>
      </c>
      <c r="BQ71">
        <v>0.54951476099999996</v>
      </c>
    </row>
    <row r="72" spans="1:125" s="1" customFormat="1" ht="16.5" x14ac:dyDescent="0.45">
      <c r="A72" s="2">
        <v>1801.7</v>
      </c>
      <c r="B72" s="3">
        <v>22.29</v>
      </c>
      <c r="C72" s="4">
        <v>3.93</v>
      </c>
      <c r="D72" s="5">
        <v>-0.24</v>
      </c>
      <c r="E72" s="6">
        <v>10.9</v>
      </c>
      <c r="F72" s="7">
        <v>10.9</v>
      </c>
      <c r="G72" s="8">
        <v>527</v>
      </c>
      <c r="H72" s="9">
        <v>516</v>
      </c>
      <c r="I72" s="7">
        <v>99.4</v>
      </c>
      <c r="J72" s="12">
        <v>0.02</v>
      </c>
      <c r="K72" s="10">
        <v>-0.3</v>
      </c>
      <c r="L72" s="10">
        <v>0.03</v>
      </c>
      <c r="M72" s="10">
        <v>-1.93</v>
      </c>
      <c r="N72" s="10">
        <v>-0.18</v>
      </c>
      <c r="O72" s="10">
        <v>-1.35</v>
      </c>
      <c r="P72" s="10">
        <v>-0.21</v>
      </c>
      <c r="Q72" s="10">
        <v>-1.3</v>
      </c>
      <c r="R72" s="10">
        <v>-0.44</v>
      </c>
      <c r="S72" s="10">
        <v>-0.9</v>
      </c>
      <c r="T72" s="10">
        <v>-0.36</v>
      </c>
      <c r="U72" s="10">
        <v>-0.87</v>
      </c>
      <c r="V72" s="10">
        <v>-0.52</v>
      </c>
      <c r="W72" s="10">
        <v>-0.65</v>
      </c>
      <c r="X72" s="10">
        <v>-0.53</v>
      </c>
      <c r="Y72" s="10">
        <v>-0.71</v>
      </c>
      <c r="Z72" s="10">
        <v>-0.55000000000000004</v>
      </c>
      <c r="AA72" s="10">
        <v>-0.45</v>
      </c>
      <c r="AB72" s="10">
        <v>-0.18</v>
      </c>
      <c r="AC72" s="10">
        <v>0.02</v>
      </c>
      <c r="AD72" s="10">
        <v>0.03</v>
      </c>
      <c r="AE72" s="10">
        <v>0.02</v>
      </c>
      <c r="AF72" s="10">
        <v>0.01</v>
      </c>
      <c r="AG72" s="10">
        <v>0.03</v>
      </c>
      <c r="AH72" s="10">
        <v>0.02</v>
      </c>
      <c r="AI72" s="10">
        <v>0.02</v>
      </c>
      <c r="AJ72" s="10">
        <v>0.02</v>
      </c>
      <c r="AK72" s="10">
        <v>0.02</v>
      </c>
      <c r="AL72" s="10">
        <v>0.02</v>
      </c>
      <c r="AM72" s="10">
        <v>0.03</v>
      </c>
      <c r="AN72" s="10">
        <v>-0.52</v>
      </c>
      <c r="AO72" s="11">
        <v>0</v>
      </c>
      <c r="AP72" s="6">
        <v>22.8</v>
      </c>
      <c r="AQ72" s="10">
        <v>1.17</v>
      </c>
      <c r="AR72" s="10">
        <v>30</v>
      </c>
      <c r="AS72" s="11">
        <v>29.69</v>
      </c>
      <c r="AT72" s="23">
        <f t="shared" si="1"/>
        <v>5.671755725190839</v>
      </c>
      <c r="AU72" s="22">
        <f t="shared" si="31"/>
        <v>0.94080405191516303</v>
      </c>
      <c r="AV72" s="23">
        <f t="shared" si="32"/>
        <v>0.1658752769863881</v>
      </c>
      <c r="AW72" s="22">
        <f t="shared" si="33"/>
        <v>-6.7531919383771233E-2</v>
      </c>
      <c r="AX72">
        <f t="shared" si="34"/>
        <v>1.0256410256410255</v>
      </c>
      <c r="AY72">
        <f t="shared" si="35"/>
        <v>0.41785375118708457</v>
      </c>
      <c r="AZ72">
        <f t="shared" si="36"/>
        <v>1.0446343779677112</v>
      </c>
      <c r="BA72">
        <f t="shared" si="37"/>
        <v>-2.6780626780626782</v>
      </c>
      <c r="BB72">
        <f t="shared" ref="BB72:BB95" si="48">(N72-AN72)*10^3/(0.5*AQ72*(AR72^2))</f>
        <v>0.64577397910731249</v>
      </c>
      <c r="BC72">
        <f t="shared" si="38"/>
        <v>-1.5764482431149101</v>
      </c>
      <c r="BD72">
        <f t="shared" si="39"/>
        <v>0.58879392212725556</v>
      </c>
      <c r="BE72">
        <f t="shared" si="40"/>
        <v>-1.4814814814814814</v>
      </c>
      <c r="BF72">
        <f t="shared" si="41"/>
        <v>0.1519468186134853</v>
      </c>
      <c r="BG72">
        <f t="shared" si="42"/>
        <v>-0.72174738841405506</v>
      </c>
      <c r="BH72">
        <f t="shared" ref="BH72:BH95" si="49">(T72-AN72)*10^3/(0.5*AQ72*(AR72^2))</f>
        <v>0.3038936372269706</v>
      </c>
      <c r="BI72">
        <f t="shared" si="43"/>
        <v>-0.66476733143399813</v>
      </c>
      <c r="BJ72">
        <f t="shared" si="44"/>
        <v>0</v>
      </c>
      <c r="BK72">
        <f t="shared" ref="BK72:BK95" si="50">(W72-AN72)*10^3/(0.5*AQ72*(AR72^2))</f>
        <v>-0.24691358024691357</v>
      </c>
      <c r="BL72">
        <f t="shared" si="45"/>
        <v>-1.8993352326685677E-2</v>
      </c>
      <c r="BM72">
        <f t="shared" si="46"/>
        <v>-0.36087369420702742</v>
      </c>
      <c r="BN72">
        <f t="shared" ref="BN72:BN95" si="51">(Z72-AN72)*10^3/(0.5*AQ72*(AR72^2))</f>
        <v>-5.6980056980057037E-2</v>
      </c>
      <c r="BO72">
        <f t="shared" ref="BO72:BO95" si="52">(AA72-AN72)*10^3/(0.5*AQ72*(AR72^2))</f>
        <v>0.13295346628679963</v>
      </c>
      <c r="BP72">
        <f t="shared" si="47"/>
        <v>0.64577397910731249</v>
      </c>
      <c r="BQ72">
        <f t="shared" ref="BQ72:BQ95" si="53">(AC72-AN72)*10^3/(0.5*AQ72*(AR72^2))</f>
        <v>1.0256410256410255</v>
      </c>
    </row>
    <row r="73" spans="1:125" s="1" customFormat="1" ht="16.5" x14ac:dyDescent="0.45">
      <c r="A73" s="2">
        <v>2025.9</v>
      </c>
      <c r="B73" s="3">
        <v>19.170000000000002</v>
      </c>
      <c r="C73" s="4">
        <v>5.08</v>
      </c>
      <c r="D73" s="5">
        <v>-0.37</v>
      </c>
      <c r="E73" s="6">
        <v>12</v>
      </c>
      <c r="F73" s="7">
        <v>12</v>
      </c>
      <c r="G73" s="8">
        <v>527</v>
      </c>
      <c r="H73" s="9">
        <v>532</v>
      </c>
      <c r="I73" s="7">
        <v>99.4</v>
      </c>
      <c r="J73" s="12">
        <v>0.02</v>
      </c>
      <c r="K73" s="10">
        <v>-0.32</v>
      </c>
      <c r="L73" s="10">
        <v>0.03</v>
      </c>
      <c r="M73" s="10">
        <v>-2.02</v>
      </c>
      <c r="N73" s="10">
        <v>-0.17</v>
      </c>
      <c r="O73" s="10">
        <v>-1.38</v>
      </c>
      <c r="P73" s="10">
        <v>-0.21</v>
      </c>
      <c r="Q73" s="10">
        <v>-1.33</v>
      </c>
      <c r="R73" s="10">
        <v>-0.42</v>
      </c>
      <c r="S73" s="10">
        <v>-0.97</v>
      </c>
      <c r="T73" s="10">
        <v>-0.36</v>
      </c>
      <c r="U73" s="10">
        <v>-0.89</v>
      </c>
      <c r="V73" s="10">
        <v>-0.52</v>
      </c>
      <c r="W73" s="10">
        <v>-0.64</v>
      </c>
      <c r="X73" s="10">
        <v>-0.53</v>
      </c>
      <c r="Y73" s="10">
        <v>-0.71</v>
      </c>
      <c r="Z73" s="10">
        <v>-0.55000000000000004</v>
      </c>
      <c r="AA73" s="10">
        <v>-0.44</v>
      </c>
      <c r="AB73" s="10">
        <v>-0.18</v>
      </c>
      <c r="AC73" s="10">
        <v>0.02</v>
      </c>
      <c r="AD73" s="10">
        <v>0.03</v>
      </c>
      <c r="AE73" s="10">
        <v>0.02</v>
      </c>
      <c r="AF73" s="10">
        <v>0.01</v>
      </c>
      <c r="AG73" s="10">
        <v>0.03</v>
      </c>
      <c r="AH73" s="10">
        <v>0.02</v>
      </c>
      <c r="AI73" s="10">
        <v>0.02</v>
      </c>
      <c r="AJ73" s="10">
        <v>0.02</v>
      </c>
      <c r="AK73" s="10">
        <v>0.02</v>
      </c>
      <c r="AL73" s="10">
        <v>0.02</v>
      </c>
      <c r="AM73" s="10">
        <v>0.02</v>
      </c>
      <c r="AN73" s="10">
        <v>-0.52</v>
      </c>
      <c r="AO73" s="11">
        <v>0</v>
      </c>
      <c r="AP73" s="6">
        <v>22.8</v>
      </c>
      <c r="AQ73" s="10">
        <v>1.17</v>
      </c>
      <c r="AR73" s="10">
        <v>30</v>
      </c>
      <c r="AS73" s="11">
        <v>30.15</v>
      </c>
      <c r="AT73" s="23">
        <f t="shared" si="1"/>
        <v>3.7736220472440949</v>
      </c>
      <c r="AU73" s="22">
        <f t="shared" si="31"/>
        <v>0.80911680911680928</v>
      </c>
      <c r="AV73" s="23">
        <f t="shared" si="32"/>
        <v>0.21441384404347369</v>
      </c>
      <c r="AW73" s="22">
        <f t="shared" si="33"/>
        <v>-0.10411170904998067</v>
      </c>
      <c r="AX73">
        <f t="shared" si="34"/>
        <v>1.0256410256410255</v>
      </c>
      <c r="AY73">
        <f t="shared" si="35"/>
        <v>0.37986704653371323</v>
      </c>
      <c r="AZ73">
        <f t="shared" si="36"/>
        <v>1.0446343779677112</v>
      </c>
      <c r="BA73">
        <f t="shared" si="37"/>
        <v>-2.8490028490028489</v>
      </c>
      <c r="BB73">
        <f t="shared" si="48"/>
        <v>0.66476733143399813</v>
      </c>
      <c r="BC73">
        <f t="shared" si="38"/>
        <v>-1.6334283000949665</v>
      </c>
      <c r="BD73">
        <f t="shared" si="39"/>
        <v>0.58879392212725556</v>
      </c>
      <c r="BE73">
        <f t="shared" si="40"/>
        <v>-1.5384615384615385</v>
      </c>
      <c r="BF73">
        <f t="shared" si="41"/>
        <v>0.18993352326685664</v>
      </c>
      <c r="BG73">
        <f t="shared" si="42"/>
        <v>-0.85470085470085455</v>
      </c>
      <c r="BH73">
        <f t="shared" si="49"/>
        <v>0.3038936372269706</v>
      </c>
      <c r="BI73">
        <f t="shared" si="43"/>
        <v>-0.70275403608736942</v>
      </c>
      <c r="BJ73">
        <f t="shared" si="44"/>
        <v>0</v>
      </c>
      <c r="BK73">
        <f t="shared" si="50"/>
        <v>-0.22792022792022792</v>
      </c>
      <c r="BL73">
        <f t="shared" si="45"/>
        <v>-1.8993352326685677E-2</v>
      </c>
      <c r="BM73">
        <f t="shared" si="46"/>
        <v>-0.36087369420702742</v>
      </c>
      <c r="BN73">
        <f t="shared" si="51"/>
        <v>-5.6980056980057037E-2</v>
      </c>
      <c r="BO73">
        <f t="shared" si="52"/>
        <v>0.1519468186134853</v>
      </c>
      <c r="BP73">
        <f t="shared" si="47"/>
        <v>0.64577397910731249</v>
      </c>
      <c r="BQ73">
        <f t="shared" si="53"/>
        <v>1.0256410256410255</v>
      </c>
    </row>
    <row r="74" spans="1:125" s="1" customFormat="1" ht="16.5" x14ac:dyDescent="0.45">
      <c r="A74" s="2">
        <v>2351.9</v>
      </c>
      <c r="B74" s="3">
        <v>17.760000000000002</v>
      </c>
      <c r="C74" s="4">
        <v>5.82</v>
      </c>
      <c r="D74" s="5">
        <v>-0.4</v>
      </c>
      <c r="E74" s="6">
        <v>13.1</v>
      </c>
      <c r="F74" s="7">
        <v>13.1</v>
      </c>
      <c r="G74" s="8">
        <v>528</v>
      </c>
      <c r="H74" s="9">
        <v>546</v>
      </c>
      <c r="I74" s="7">
        <v>99.4</v>
      </c>
      <c r="J74" s="12">
        <v>0.02</v>
      </c>
      <c r="K74" s="10">
        <v>-0.35</v>
      </c>
      <c r="L74" s="10">
        <v>0.03</v>
      </c>
      <c r="M74" s="10">
        <v>-2.06</v>
      </c>
      <c r="N74" s="10">
        <v>-0.14000000000000001</v>
      </c>
      <c r="O74" s="10">
        <v>-1.43</v>
      </c>
      <c r="P74" s="10">
        <v>-0.19</v>
      </c>
      <c r="Q74" s="10">
        <v>-1.36</v>
      </c>
      <c r="R74" s="10">
        <v>-0.41</v>
      </c>
      <c r="S74" s="10">
        <v>-0.95</v>
      </c>
      <c r="T74" s="10">
        <v>-0.35</v>
      </c>
      <c r="U74" s="10">
        <v>-0.89</v>
      </c>
      <c r="V74" s="10">
        <v>-0.51</v>
      </c>
      <c r="W74" s="10">
        <v>-0.64</v>
      </c>
      <c r="X74" s="10">
        <v>-0.53</v>
      </c>
      <c r="Y74" s="10">
        <v>-0.7</v>
      </c>
      <c r="Z74" s="10">
        <v>-0.55000000000000004</v>
      </c>
      <c r="AA74" s="10">
        <v>-0.44</v>
      </c>
      <c r="AB74" s="10">
        <v>-0.19</v>
      </c>
      <c r="AC74" s="10">
        <v>0.02</v>
      </c>
      <c r="AD74" s="10">
        <v>0.03</v>
      </c>
      <c r="AE74" s="10">
        <v>0.02</v>
      </c>
      <c r="AF74" s="10">
        <v>0.01</v>
      </c>
      <c r="AG74" s="10">
        <v>0.03</v>
      </c>
      <c r="AH74" s="10">
        <v>0.02</v>
      </c>
      <c r="AI74" s="10">
        <v>0.02</v>
      </c>
      <c r="AJ74" s="10">
        <v>0.02</v>
      </c>
      <c r="AK74" s="10">
        <v>0.02</v>
      </c>
      <c r="AL74" s="10">
        <v>0.02</v>
      </c>
      <c r="AM74" s="10">
        <v>0.03</v>
      </c>
      <c r="AN74" s="10">
        <v>-0.52</v>
      </c>
      <c r="AO74" s="11">
        <v>0</v>
      </c>
      <c r="AP74" s="6">
        <v>22.8</v>
      </c>
      <c r="AQ74" s="10">
        <v>1.17</v>
      </c>
      <c r="AR74" s="10">
        <v>30.03</v>
      </c>
      <c r="AS74" s="11">
        <v>30.54</v>
      </c>
      <c r="AT74" s="23">
        <f t="shared" si="1"/>
        <v>3.0515463917525776</v>
      </c>
      <c r="AU74" s="22">
        <f t="shared" si="31"/>
        <v>0.74810734236778298</v>
      </c>
      <c r="AV74" s="23">
        <f t="shared" si="32"/>
        <v>0.24515679800565862</v>
      </c>
      <c r="AW74" s="22">
        <f t="shared" si="33"/>
        <v>-0.1123284297849524</v>
      </c>
      <c r="AX74">
        <f t="shared" si="34"/>
        <v>1.0235928164153785</v>
      </c>
      <c r="AY74">
        <f t="shared" si="35"/>
        <v>0.32224218294558216</v>
      </c>
      <c r="AZ74">
        <f t="shared" si="36"/>
        <v>1.0425482389415892</v>
      </c>
      <c r="BA74">
        <f t="shared" si="37"/>
        <v>-2.9191350690364497</v>
      </c>
      <c r="BB74">
        <f t="shared" si="48"/>
        <v>0.72030605599600706</v>
      </c>
      <c r="BC74">
        <f t="shared" si="38"/>
        <v>-1.7249434498851748</v>
      </c>
      <c r="BD74">
        <f t="shared" si="39"/>
        <v>0.62552894336495357</v>
      </c>
      <c r="BE74">
        <f t="shared" si="40"/>
        <v>-1.5922554922017</v>
      </c>
      <c r="BF74">
        <f t="shared" si="41"/>
        <v>0.20850964778831793</v>
      </c>
      <c r="BG74">
        <f t="shared" si="42"/>
        <v>-0.81508316862706054</v>
      </c>
      <c r="BH74">
        <f t="shared" si="49"/>
        <v>0.32224218294558216</v>
      </c>
      <c r="BI74">
        <f t="shared" si="43"/>
        <v>-0.70135063346979643</v>
      </c>
      <c r="BJ74">
        <f t="shared" si="44"/>
        <v>1.8955422526210731E-2</v>
      </c>
      <c r="BK74">
        <f t="shared" si="50"/>
        <v>-0.22746507031452856</v>
      </c>
      <c r="BL74">
        <f t="shared" si="45"/>
        <v>-1.8955422526210731E-2</v>
      </c>
      <c r="BM74">
        <f t="shared" si="46"/>
        <v>-0.34119760547179273</v>
      </c>
      <c r="BN74">
        <f t="shared" si="51"/>
        <v>-5.6866267578632196E-2</v>
      </c>
      <c r="BO74">
        <f t="shared" si="52"/>
        <v>0.15164338020968574</v>
      </c>
      <c r="BP74">
        <f t="shared" si="47"/>
        <v>0.62552894336495357</v>
      </c>
      <c r="BQ74">
        <f t="shared" si="53"/>
        <v>1.0235928164153785</v>
      </c>
    </row>
    <row r="75" spans="1:125" s="1" customFormat="1" ht="16.5" x14ac:dyDescent="0.45">
      <c r="A75" s="2">
        <v>2585.4</v>
      </c>
      <c r="B75" s="3">
        <v>17.29</v>
      </c>
      <c r="C75" s="4">
        <v>6.34</v>
      </c>
      <c r="D75" s="5">
        <v>-0.43</v>
      </c>
      <c r="E75" s="6">
        <v>13.9</v>
      </c>
      <c r="F75" s="7">
        <v>13.9</v>
      </c>
      <c r="G75" s="8">
        <v>532</v>
      </c>
      <c r="H75" s="9">
        <v>546</v>
      </c>
      <c r="I75" s="7">
        <v>99.4</v>
      </c>
      <c r="J75" s="12">
        <v>0.02</v>
      </c>
      <c r="K75" s="10">
        <v>-0.08</v>
      </c>
      <c r="L75" s="10">
        <v>0.03</v>
      </c>
      <c r="M75" s="10">
        <v>-0.92</v>
      </c>
      <c r="N75" s="10">
        <v>-0.23</v>
      </c>
      <c r="O75" s="10">
        <v>-1.28</v>
      </c>
      <c r="P75" s="10">
        <v>-0.25</v>
      </c>
      <c r="Q75" s="10">
        <v>-1.07</v>
      </c>
      <c r="R75" s="10">
        <v>-0.47</v>
      </c>
      <c r="S75" s="10">
        <v>-1.03</v>
      </c>
      <c r="T75" s="10">
        <v>-0.4</v>
      </c>
      <c r="U75" s="10">
        <v>-0.97</v>
      </c>
      <c r="V75" s="10">
        <v>-0.56000000000000005</v>
      </c>
      <c r="W75" s="10">
        <v>-0.75</v>
      </c>
      <c r="X75" s="10">
        <v>-0.57999999999999996</v>
      </c>
      <c r="Y75" s="10">
        <v>-0.88</v>
      </c>
      <c r="Z75" s="10">
        <v>-0.61</v>
      </c>
      <c r="AA75" s="10">
        <v>-0.59</v>
      </c>
      <c r="AB75" s="10">
        <v>-0.21</v>
      </c>
      <c r="AC75" s="10">
        <v>0.01</v>
      </c>
      <c r="AD75" s="10">
        <v>0.03</v>
      </c>
      <c r="AE75" s="10">
        <v>0.02</v>
      </c>
      <c r="AF75" s="10">
        <v>0.02</v>
      </c>
      <c r="AG75" s="10">
        <v>0.03</v>
      </c>
      <c r="AH75" s="10">
        <v>0.02</v>
      </c>
      <c r="AI75" s="10">
        <v>0.02</v>
      </c>
      <c r="AJ75" s="10">
        <v>0.02</v>
      </c>
      <c r="AK75" s="10">
        <v>0.02</v>
      </c>
      <c r="AL75" s="10">
        <v>0.02</v>
      </c>
      <c r="AM75" s="10">
        <v>0.03</v>
      </c>
      <c r="AN75" s="10">
        <v>-0.51</v>
      </c>
      <c r="AO75" s="11">
        <v>0</v>
      </c>
      <c r="AP75" s="6">
        <v>22.8</v>
      </c>
      <c r="AQ75" s="10">
        <v>1.17</v>
      </c>
      <c r="AR75" s="10">
        <v>30.15</v>
      </c>
      <c r="AS75" s="11">
        <v>30.54</v>
      </c>
      <c r="AT75" s="23">
        <f t="shared" ref="AT75:AT95" si="54">B75/C75</f>
        <v>2.7271293375394321</v>
      </c>
      <c r="AU75" s="22">
        <f t="shared" si="31"/>
        <v>0.72252350569627288</v>
      </c>
      <c r="AV75" s="23">
        <f t="shared" si="32"/>
        <v>0.26493921492853501</v>
      </c>
      <c r="AW75" s="22">
        <f t="shared" si="33"/>
        <v>-0.11979375648713991</v>
      </c>
      <c r="AX75">
        <f t="shared" si="34"/>
        <v>0.99665619495986746</v>
      </c>
      <c r="AY75">
        <f t="shared" si="35"/>
        <v>0.80860785628819443</v>
      </c>
      <c r="AZ75">
        <f t="shared" si="36"/>
        <v>1.0154610288270349</v>
      </c>
      <c r="BA75">
        <f t="shared" si="37"/>
        <v>-0.77099818855385993</v>
      </c>
      <c r="BB75">
        <f t="shared" si="48"/>
        <v>0.52653534828068471</v>
      </c>
      <c r="BC75">
        <f t="shared" si="38"/>
        <v>-1.4479722077718831</v>
      </c>
      <c r="BD75">
        <f t="shared" si="39"/>
        <v>0.48892568054635011</v>
      </c>
      <c r="BE75">
        <f t="shared" si="40"/>
        <v>-1.0530706965613694</v>
      </c>
      <c r="BF75">
        <f t="shared" si="41"/>
        <v>7.521933546866931E-2</v>
      </c>
      <c r="BG75">
        <f t="shared" si="42"/>
        <v>-0.97785136109270021</v>
      </c>
      <c r="BH75">
        <f t="shared" si="49"/>
        <v>0.20685317253884039</v>
      </c>
      <c r="BI75">
        <f t="shared" si="43"/>
        <v>-0.86502235788969617</v>
      </c>
      <c r="BJ75">
        <f t="shared" si="44"/>
        <v>-9.4024169335836641E-2</v>
      </c>
      <c r="BK75">
        <f t="shared" si="50"/>
        <v>-0.4513160128120155</v>
      </c>
      <c r="BL75">
        <f t="shared" si="45"/>
        <v>-0.13163383707017109</v>
      </c>
      <c r="BM75">
        <f t="shared" si="46"/>
        <v>-0.6957788530851905</v>
      </c>
      <c r="BN75">
        <f t="shared" si="51"/>
        <v>-0.18804833867167306</v>
      </c>
      <c r="BO75">
        <f t="shared" si="52"/>
        <v>-0.15043867093733843</v>
      </c>
      <c r="BP75">
        <f t="shared" si="47"/>
        <v>0.56414501601501943</v>
      </c>
      <c r="BQ75">
        <f t="shared" si="53"/>
        <v>0.97785136109270021</v>
      </c>
    </row>
    <row r="76" spans="1:125" s="1" customFormat="1" ht="16.5" x14ac:dyDescent="0.45">
      <c r="A76" s="2">
        <v>2802.7</v>
      </c>
      <c r="B76" s="3">
        <v>16.95</v>
      </c>
      <c r="C76" s="4">
        <v>6.98</v>
      </c>
      <c r="D76" s="5">
        <v>-0.43</v>
      </c>
      <c r="E76" s="6">
        <v>15.1</v>
      </c>
      <c r="F76" s="7">
        <v>15.1</v>
      </c>
      <c r="G76" s="8">
        <v>529</v>
      </c>
      <c r="H76" s="9">
        <v>566</v>
      </c>
      <c r="I76" s="7">
        <v>99.4</v>
      </c>
      <c r="J76" s="12">
        <v>0.02</v>
      </c>
      <c r="K76" s="10">
        <v>-0.06</v>
      </c>
      <c r="L76" s="10">
        <v>0.03</v>
      </c>
      <c r="M76" s="10">
        <v>-0.84</v>
      </c>
      <c r="N76" s="10">
        <v>-0.25</v>
      </c>
      <c r="O76" s="10">
        <v>-1</v>
      </c>
      <c r="P76" s="10">
        <v>-0.26</v>
      </c>
      <c r="Q76" s="10">
        <v>-1</v>
      </c>
      <c r="R76" s="10">
        <v>-0.48</v>
      </c>
      <c r="S76" s="10">
        <v>-1</v>
      </c>
      <c r="T76" s="10">
        <v>-0.41</v>
      </c>
      <c r="U76" s="10">
        <v>-0.95</v>
      </c>
      <c r="V76" s="10">
        <v>-0.59</v>
      </c>
      <c r="W76" s="10">
        <v>-0.76</v>
      </c>
      <c r="X76" s="10">
        <v>-0.61</v>
      </c>
      <c r="Y76" s="10">
        <v>-0.94</v>
      </c>
      <c r="Z76" s="10">
        <v>-0.66</v>
      </c>
      <c r="AA76" s="10">
        <v>-0.65</v>
      </c>
      <c r="AB76" s="10">
        <v>-0.24</v>
      </c>
      <c r="AC76" s="10">
        <v>0</v>
      </c>
      <c r="AD76" s="10">
        <v>0.03</v>
      </c>
      <c r="AE76" s="10">
        <v>0.02</v>
      </c>
      <c r="AF76" s="10">
        <v>0.01</v>
      </c>
      <c r="AG76" s="10">
        <v>0.03</v>
      </c>
      <c r="AH76" s="10">
        <v>0.02</v>
      </c>
      <c r="AI76" s="10">
        <v>0.02</v>
      </c>
      <c r="AJ76" s="10">
        <v>0.02</v>
      </c>
      <c r="AK76" s="10">
        <v>0.02</v>
      </c>
      <c r="AL76" s="10">
        <v>0.02</v>
      </c>
      <c r="AM76" s="10">
        <v>0.03</v>
      </c>
      <c r="AN76" s="10">
        <v>-0.52</v>
      </c>
      <c r="AO76" s="11">
        <v>0</v>
      </c>
      <c r="AP76" s="6">
        <v>22.8</v>
      </c>
      <c r="AQ76" s="10">
        <v>1.17</v>
      </c>
      <c r="AR76" s="10">
        <v>30.06</v>
      </c>
      <c r="AS76" s="11">
        <v>31.09</v>
      </c>
      <c r="AT76" s="23">
        <f t="shared" si="54"/>
        <v>2.4283667621776504</v>
      </c>
      <c r="AU76" s="22">
        <f t="shared" si="31"/>
        <v>0.71256316804696662</v>
      </c>
      <c r="AV76" s="23">
        <f t="shared" si="32"/>
        <v>0.2934330922104913</v>
      </c>
      <c r="AW76" s="22">
        <f t="shared" si="33"/>
        <v>-0.12051215821443291</v>
      </c>
      <c r="AX76">
        <f t="shared" si="34"/>
        <v>1.0215507364921115</v>
      </c>
      <c r="AY76">
        <f t="shared" si="35"/>
        <v>0.87020988664142829</v>
      </c>
      <c r="AZ76">
        <f t="shared" si="36"/>
        <v>1.0404683427234469</v>
      </c>
      <c r="BA76">
        <f t="shared" si="37"/>
        <v>-0.60536339940273254</v>
      </c>
      <c r="BB76">
        <f t="shared" si="48"/>
        <v>0.51077536824605574</v>
      </c>
      <c r="BC76">
        <f t="shared" si="38"/>
        <v>-0.90804509910409903</v>
      </c>
      <c r="BD76">
        <f t="shared" si="39"/>
        <v>0.49185776201472031</v>
      </c>
      <c r="BE76">
        <f t="shared" si="40"/>
        <v>-0.90804509910409903</v>
      </c>
      <c r="BF76">
        <f t="shared" si="41"/>
        <v>7.5670424925341651E-2</v>
      </c>
      <c r="BG76">
        <f t="shared" si="42"/>
        <v>-0.90804509910409903</v>
      </c>
      <c r="BH76">
        <f t="shared" si="49"/>
        <v>0.20809366854468944</v>
      </c>
      <c r="BI76">
        <f t="shared" si="43"/>
        <v>-0.8134570679474219</v>
      </c>
      <c r="BJ76">
        <f t="shared" si="44"/>
        <v>-0.13242324361934771</v>
      </c>
      <c r="BK76">
        <f t="shared" si="50"/>
        <v>-0.45402254955204951</v>
      </c>
      <c r="BL76">
        <f t="shared" si="45"/>
        <v>-0.17025845608201851</v>
      </c>
      <c r="BM76">
        <f t="shared" si="46"/>
        <v>-0.79453946171608658</v>
      </c>
      <c r="BN76">
        <f t="shared" si="51"/>
        <v>-0.26484648723869553</v>
      </c>
      <c r="BO76">
        <f t="shared" si="52"/>
        <v>-0.24592888100736016</v>
      </c>
      <c r="BP76">
        <f t="shared" si="47"/>
        <v>0.52969297447739105</v>
      </c>
      <c r="BQ76">
        <f t="shared" si="53"/>
        <v>0.98371552402944062</v>
      </c>
    </row>
    <row r="77" spans="1:125" s="1" customFormat="1" ht="16.5" x14ac:dyDescent="0.45">
      <c r="A77" s="2">
        <v>3020.5</v>
      </c>
      <c r="B77" s="3">
        <v>16.66</v>
      </c>
      <c r="C77" s="4">
        <v>7.76</v>
      </c>
      <c r="D77" s="5">
        <v>-0.43</v>
      </c>
      <c r="E77" s="6">
        <v>16</v>
      </c>
      <c r="F77" s="7">
        <v>16</v>
      </c>
      <c r="G77" s="8">
        <v>525</v>
      </c>
      <c r="H77" s="9">
        <v>554</v>
      </c>
      <c r="I77" s="7">
        <v>99.4</v>
      </c>
      <c r="J77" s="12">
        <v>0.02</v>
      </c>
      <c r="K77" s="10">
        <v>-0.06</v>
      </c>
      <c r="L77" s="10">
        <v>0.03</v>
      </c>
      <c r="M77" s="10">
        <v>-0.91</v>
      </c>
      <c r="N77" s="10">
        <v>-0.24</v>
      </c>
      <c r="O77" s="10">
        <v>-1.06</v>
      </c>
      <c r="P77" s="10">
        <v>-0.25</v>
      </c>
      <c r="Q77" s="10">
        <v>-1.06</v>
      </c>
      <c r="R77" s="10">
        <v>-0.47</v>
      </c>
      <c r="S77" s="10">
        <v>-0.97</v>
      </c>
      <c r="T77" s="10">
        <v>-0.4</v>
      </c>
      <c r="U77" s="10">
        <v>-0.97</v>
      </c>
      <c r="V77" s="10">
        <v>-0.56999999999999995</v>
      </c>
      <c r="W77" s="10">
        <v>-0.74</v>
      </c>
      <c r="X77" s="10">
        <v>-0.59</v>
      </c>
      <c r="Y77" s="10">
        <v>-0.87</v>
      </c>
      <c r="Z77" s="10">
        <v>-0.63</v>
      </c>
      <c r="AA77" s="10">
        <v>-0.59</v>
      </c>
      <c r="AB77" s="10">
        <v>-0.22</v>
      </c>
      <c r="AC77" s="10">
        <v>0.01</v>
      </c>
      <c r="AD77" s="10">
        <v>0.03</v>
      </c>
      <c r="AE77" s="10">
        <v>0.02</v>
      </c>
      <c r="AF77" s="10">
        <v>0.02</v>
      </c>
      <c r="AG77" s="10">
        <v>0.03</v>
      </c>
      <c r="AH77" s="10">
        <v>0.02</v>
      </c>
      <c r="AI77" s="10">
        <v>0.03</v>
      </c>
      <c r="AJ77" s="10">
        <v>0.02</v>
      </c>
      <c r="AK77" s="10">
        <v>0.02</v>
      </c>
      <c r="AL77" s="10">
        <v>0.02</v>
      </c>
      <c r="AM77" s="10">
        <v>0.03</v>
      </c>
      <c r="AN77" s="10">
        <v>-0.51</v>
      </c>
      <c r="AO77" s="11">
        <v>0</v>
      </c>
      <c r="AP77" s="6">
        <v>22.8</v>
      </c>
      <c r="AQ77" s="10">
        <v>1.17</v>
      </c>
      <c r="AR77" s="10">
        <v>29.95</v>
      </c>
      <c r="AS77" s="11">
        <v>30.76</v>
      </c>
      <c r="AT77" s="23">
        <f t="shared" si="54"/>
        <v>2.1469072164948453</v>
      </c>
      <c r="AU77" s="22">
        <f t="shared" si="31"/>
        <v>0.70552590380201441</v>
      </c>
      <c r="AV77" s="23">
        <f t="shared" si="32"/>
        <v>0.32862431053443164</v>
      </c>
      <c r="AW77" s="22">
        <f t="shared" si="33"/>
        <v>-0.12139901505997046</v>
      </c>
      <c r="AX77">
        <f t="shared" si="34"/>
        <v>1.0100115729698704</v>
      </c>
      <c r="AY77">
        <f t="shared" si="35"/>
        <v>0.85755699591781454</v>
      </c>
      <c r="AZ77">
        <f t="shared" si="36"/>
        <v>1.0290683951013775</v>
      </c>
      <c r="BA77">
        <f t="shared" si="37"/>
        <v>-0.76227288526027959</v>
      </c>
      <c r="BB77">
        <v>0.71453419799999995</v>
      </c>
      <c r="BC77">
        <f t="shared" si="38"/>
        <v>-1.0481252172328843</v>
      </c>
      <c r="BD77">
        <f t="shared" si="39"/>
        <v>0.49547737541918169</v>
      </c>
      <c r="BE77">
        <f t="shared" si="40"/>
        <v>-1.0481252172328843</v>
      </c>
      <c r="BF77">
        <v>0.116227289</v>
      </c>
      <c r="BG77">
        <f t="shared" si="42"/>
        <v>-0.87661381804932137</v>
      </c>
      <c r="BH77">
        <v>0.15962504299999999</v>
      </c>
      <c r="BI77">
        <f t="shared" si="43"/>
        <v>-0.87661381804932137</v>
      </c>
      <c r="BJ77">
        <v>0.11434093300000001</v>
      </c>
      <c r="BK77">
        <v>-0.73830690899999996</v>
      </c>
      <c r="BL77">
        <v>0.15245457700000001</v>
      </c>
      <c r="BM77">
        <f t="shared" si="46"/>
        <v>-0.68604559673425158</v>
      </c>
      <c r="BN77">
        <v>0.528681866</v>
      </c>
      <c r="BO77">
        <f t="shared" si="52"/>
        <v>-0.15245457705205584</v>
      </c>
      <c r="BP77">
        <v>1.3526478420000001</v>
      </c>
      <c r="BQ77">
        <v>0.89095475099999999</v>
      </c>
    </row>
    <row r="78" spans="1:125" ht="14.5" x14ac:dyDescent="0.35">
      <c r="A78" s="25" t="s">
        <v>103</v>
      </c>
      <c r="B78" s="25">
        <f>(B22*B23*30)/B24</f>
        <v>290883.97790055245</v>
      </c>
      <c r="AU78"/>
      <c r="AV78"/>
      <c r="AW78"/>
    </row>
    <row r="79" spans="1:125" ht="14.5" x14ac:dyDescent="0.35">
      <c r="AU79"/>
      <c r="AV79"/>
      <c r="AW79"/>
    </row>
    <row r="80" spans="1:125" ht="14.5" x14ac:dyDescent="0.35">
      <c r="AU80"/>
      <c r="AV80"/>
      <c r="AW80"/>
    </row>
    <row r="81" spans="1:69" ht="20" thickBot="1" x14ac:dyDescent="0.5">
      <c r="A81" s="15" t="s">
        <v>65</v>
      </c>
      <c r="AT81" s="26" t="s">
        <v>98</v>
      </c>
      <c r="AU81" s="27" t="s">
        <v>69</v>
      </c>
      <c r="AV81" s="28" t="s">
        <v>70</v>
      </c>
      <c r="AW81" s="27" t="s">
        <v>71</v>
      </c>
    </row>
    <row r="82" spans="1:69" s="1" customFormat="1" ht="17" thickTop="1" x14ac:dyDescent="0.45">
      <c r="A82" s="2">
        <v>90.1</v>
      </c>
      <c r="B82" s="3">
        <v>-22.3</v>
      </c>
      <c r="C82" s="4">
        <v>0.94</v>
      </c>
      <c r="D82" s="5">
        <v>0.08</v>
      </c>
      <c r="E82" s="6">
        <v>355.8</v>
      </c>
      <c r="F82" s="7">
        <v>-4.2</v>
      </c>
      <c r="G82" s="8">
        <v>719</v>
      </c>
      <c r="H82" s="9">
        <v>652</v>
      </c>
      <c r="I82" s="7">
        <v>99.4</v>
      </c>
      <c r="J82" s="12">
        <v>-0.05</v>
      </c>
      <c r="K82" s="10">
        <v>0.04</v>
      </c>
      <c r="L82" s="10">
        <v>-0.22</v>
      </c>
      <c r="M82" s="10">
        <v>-0.2</v>
      </c>
      <c r="N82" s="10">
        <v>-1.94</v>
      </c>
      <c r="O82" s="10">
        <v>-0.5</v>
      </c>
      <c r="P82" s="10">
        <v>-1.25</v>
      </c>
      <c r="Q82" s="10">
        <v>-0.6</v>
      </c>
      <c r="R82" s="10">
        <v>-1.33</v>
      </c>
      <c r="S82" s="10">
        <v>-0.51</v>
      </c>
      <c r="T82" s="10">
        <v>-0.9</v>
      </c>
      <c r="U82" s="10">
        <v>-0.68</v>
      </c>
      <c r="V82" s="10">
        <v>-1.05</v>
      </c>
      <c r="W82" s="10">
        <v>-0.7</v>
      </c>
      <c r="X82" s="10">
        <v>-0.93</v>
      </c>
      <c r="Y82" s="10">
        <v>-0.71</v>
      </c>
      <c r="Z82" s="10">
        <v>-0.84</v>
      </c>
      <c r="AA82" s="10">
        <v>-0.49</v>
      </c>
      <c r="AB82" s="10">
        <v>-0.26</v>
      </c>
      <c r="AC82" s="10">
        <v>0.02</v>
      </c>
      <c r="AD82" s="10">
        <v>0.03</v>
      </c>
      <c r="AE82" s="10">
        <v>0.02</v>
      </c>
      <c r="AF82" s="10">
        <v>0.02</v>
      </c>
      <c r="AG82" s="10">
        <v>0.03</v>
      </c>
      <c r="AH82" s="10">
        <v>0.02</v>
      </c>
      <c r="AI82" s="10">
        <v>0.03</v>
      </c>
      <c r="AJ82" s="10">
        <v>0.02</v>
      </c>
      <c r="AK82" s="10">
        <v>0.02</v>
      </c>
      <c r="AL82" s="10">
        <v>0.03</v>
      </c>
      <c r="AM82" s="10">
        <v>0.03</v>
      </c>
      <c r="AN82" s="10">
        <v>-0.72</v>
      </c>
      <c r="AO82" s="11">
        <v>0</v>
      </c>
      <c r="AP82" s="6">
        <v>22.8</v>
      </c>
      <c r="AQ82" s="10">
        <v>1.17</v>
      </c>
      <c r="AR82" s="10">
        <v>35.049999999999997</v>
      </c>
      <c r="AS82" s="11">
        <v>33.369999999999997</v>
      </c>
      <c r="AT82" s="23">
        <f t="shared" si="54"/>
        <v>-23.723404255319149</v>
      </c>
      <c r="AU82" s="22">
        <f>B82/(0.5*AQ82*(AR82^2)*0.15*0.3)</f>
        <v>-0.68954154653342636</v>
      </c>
      <c r="AV82" s="23">
        <f>C82/(0.5*AQ82*(AR82^2)*0.15*0.3)</f>
        <v>2.9065876849391065E-2</v>
      </c>
      <c r="AW82" s="22">
        <f>D82/(0.5*AQ82*(AR82^2)*0.15*0.3*0.15)</f>
        <v>1.6491277645044579E-2</v>
      </c>
      <c r="AX82">
        <f t="shared" si="34"/>
        <v>0.93227253937142596</v>
      </c>
      <c r="AY82">
        <f t="shared" si="35"/>
        <v>1.0575031789884834</v>
      </c>
      <c r="AZ82">
        <f t="shared" si="36"/>
        <v>0.69572577565031801</v>
      </c>
      <c r="BA82">
        <f t="shared" si="37"/>
        <v>0.72355480667633076</v>
      </c>
      <c r="BB82">
        <f t="shared" si="48"/>
        <v>-1.6975708925867761</v>
      </c>
      <c r="BC82">
        <f t="shared" si="38"/>
        <v>0.30611934128613988</v>
      </c>
      <c r="BD82">
        <f t="shared" si="39"/>
        <v>-0.73746932218933714</v>
      </c>
      <c r="BE82">
        <f t="shared" si="40"/>
        <v>0.16697418615607632</v>
      </c>
      <c r="BF82">
        <f t="shared" si="41"/>
        <v>-0.84878544629338815</v>
      </c>
      <c r="BG82">
        <f t="shared" si="42"/>
        <v>0.2922048257731335</v>
      </c>
      <c r="BH82">
        <f t="shared" si="49"/>
        <v>-0.25046127923411454</v>
      </c>
      <c r="BI82">
        <f t="shared" si="43"/>
        <v>5.565806205202533E-2</v>
      </c>
      <c r="BJ82">
        <f t="shared" si="44"/>
        <v>-0.45917901192920996</v>
      </c>
      <c r="BK82">
        <f t="shared" si="50"/>
        <v>2.7829031026012745E-2</v>
      </c>
      <c r="BL82">
        <f t="shared" si="45"/>
        <v>-0.29220482577313367</v>
      </c>
      <c r="BM82">
        <f t="shared" si="46"/>
        <v>1.3914515513006372E-2</v>
      </c>
      <c r="BN82">
        <f t="shared" si="51"/>
        <v>-0.16697418615607632</v>
      </c>
      <c r="BO82">
        <f t="shared" si="52"/>
        <v>0.32003385679914625</v>
      </c>
      <c r="BP82">
        <f t="shared" si="47"/>
        <v>0.64006771359829251</v>
      </c>
      <c r="BQ82">
        <f t="shared" si="53"/>
        <v>1.0296741479624707</v>
      </c>
    </row>
    <row r="83" spans="1:69" s="1" customFormat="1" ht="16.5" x14ac:dyDescent="0.45">
      <c r="A83" s="2">
        <v>322</v>
      </c>
      <c r="B83" s="3">
        <v>-8.07</v>
      </c>
      <c r="C83" s="4">
        <v>0.63</v>
      </c>
      <c r="D83" s="5">
        <v>0.05</v>
      </c>
      <c r="E83" s="6">
        <v>358.1</v>
      </c>
      <c r="F83" s="7">
        <v>-1.9</v>
      </c>
      <c r="G83" s="8">
        <v>712</v>
      </c>
      <c r="H83" s="9">
        <v>654</v>
      </c>
      <c r="I83" s="7">
        <v>99.4</v>
      </c>
      <c r="J83" s="12">
        <v>-0.03</v>
      </c>
      <c r="K83" s="10">
        <v>0.04</v>
      </c>
      <c r="L83" s="10">
        <v>-0.18</v>
      </c>
      <c r="M83" s="10">
        <v>-0.31</v>
      </c>
      <c r="N83" s="10">
        <v>-1.68</v>
      </c>
      <c r="O83" s="10">
        <v>-0.59</v>
      </c>
      <c r="P83" s="10">
        <v>-1.26</v>
      </c>
      <c r="Q83" s="10">
        <v>-0.68</v>
      </c>
      <c r="R83" s="10">
        <v>-1.25</v>
      </c>
      <c r="S83" s="10">
        <v>-0.56999999999999995</v>
      </c>
      <c r="T83" s="10">
        <v>-0.86</v>
      </c>
      <c r="U83" s="10">
        <v>-0.73</v>
      </c>
      <c r="V83" s="10">
        <v>-1.02</v>
      </c>
      <c r="W83" s="10">
        <v>-0.72</v>
      </c>
      <c r="X83" s="10">
        <v>-0.93</v>
      </c>
      <c r="Y83" s="10">
        <v>-0.73</v>
      </c>
      <c r="Z83" s="10">
        <v>-0.84</v>
      </c>
      <c r="AA83" s="10">
        <v>-0.5</v>
      </c>
      <c r="AB83" s="10">
        <v>-0.26</v>
      </c>
      <c r="AC83" s="10">
        <v>0.02</v>
      </c>
      <c r="AD83" s="10">
        <v>0.03</v>
      </c>
      <c r="AE83" s="10">
        <v>0.02</v>
      </c>
      <c r="AF83" s="10">
        <v>0.02</v>
      </c>
      <c r="AG83" s="10">
        <v>0.03</v>
      </c>
      <c r="AH83" s="10">
        <v>0.02</v>
      </c>
      <c r="AI83" s="10">
        <v>0.03</v>
      </c>
      <c r="AJ83" s="10">
        <v>0.02</v>
      </c>
      <c r="AK83" s="10">
        <v>0.02</v>
      </c>
      <c r="AL83" s="10">
        <v>0.03</v>
      </c>
      <c r="AM83" s="10">
        <v>0.03</v>
      </c>
      <c r="AN83" s="10">
        <v>-0.71</v>
      </c>
      <c r="AO83" s="11">
        <v>0</v>
      </c>
      <c r="AP83" s="6">
        <v>22.8</v>
      </c>
      <c r="AQ83" s="10">
        <v>1.17</v>
      </c>
      <c r="AR83" s="10">
        <v>34.869999999999997</v>
      </c>
      <c r="AS83" s="11">
        <v>33.42</v>
      </c>
      <c r="AT83" s="23">
        <f t="shared" si="54"/>
        <v>-12.80952380952381</v>
      </c>
      <c r="AU83" s="22">
        <f t="shared" ref="AU83:AU95" si="55">B83/(0.5*AQ83*(AR83^2)*0.15*0.3)</f>
        <v>-0.25211649459984203</v>
      </c>
      <c r="AV83" s="23">
        <f t="shared" ref="AV83:AV95" si="56">C83/(0.5*AQ83*(AR83^2)*0.15*0.3)</f>
        <v>1.968195682749696E-2</v>
      </c>
      <c r="AW83" s="22">
        <f t="shared" ref="AW83:AW95" si="57">D83/(0.5*AQ83*(AR83^2)*0.15*0.3*0.15)</f>
        <v>1.0413733771162415E-2</v>
      </c>
      <c r="AX83">
        <f t="shared" si="34"/>
        <v>0.95598076019270928</v>
      </c>
      <c r="AY83">
        <f t="shared" si="35"/>
        <v>1.0543905443301942</v>
      </c>
      <c r="AZ83">
        <f t="shared" si="36"/>
        <v>0.74510265132667064</v>
      </c>
      <c r="BA83">
        <f t="shared" si="37"/>
        <v>0.56234162364277018</v>
      </c>
      <c r="BB83">
        <v>-1.223678437</v>
      </c>
      <c r="BC83">
        <f t="shared" si="38"/>
        <v>0.16870248709283109</v>
      </c>
      <c r="BD83">
        <v>-0.98321973299999998</v>
      </c>
      <c r="BE83">
        <f t="shared" si="40"/>
        <v>4.2175621773207654E-2</v>
      </c>
      <c r="BF83">
        <f t="shared" si="41"/>
        <v>-0.7591611919177399</v>
      </c>
      <c r="BG83">
        <v>1.9681956800000001E-2</v>
      </c>
      <c r="BH83">
        <v>-0.61087810899999995</v>
      </c>
      <c r="BI83">
        <f t="shared" si="43"/>
        <v>-2.8117081182138539E-2</v>
      </c>
      <c r="BJ83">
        <f t="shared" si="44"/>
        <v>-0.43581475832314703</v>
      </c>
      <c r="BK83">
        <f t="shared" si="50"/>
        <v>-1.4058540591069269E-2</v>
      </c>
      <c r="BL83">
        <f t="shared" si="45"/>
        <v>-0.30928789300352377</v>
      </c>
      <c r="BM83">
        <f t="shared" si="46"/>
        <v>-2.8117081182138539E-2</v>
      </c>
      <c r="BN83">
        <v>-0.132761028</v>
      </c>
      <c r="BO83">
        <f t="shared" si="52"/>
        <v>0.29522935241245435</v>
      </c>
      <c r="BP83">
        <v>0.762634327</v>
      </c>
      <c r="BQ83">
        <v>0.84627346299999995</v>
      </c>
    </row>
    <row r="84" spans="1:69" s="1" customFormat="1" ht="16.5" x14ac:dyDescent="0.45">
      <c r="A84" s="2">
        <v>131</v>
      </c>
      <c r="B84" s="3">
        <v>4.45</v>
      </c>
      <c r="C84" s="4">
        <v>0.06</v>
      </c>
      <c r="D84" s="5">
        <v>7.0000000000000007E-2</v>
      </c>
      <c r="E84" s="6">
        <v>0.2</v>
      </c>
      <c r="F84" s="7">
        <v>0.2</v>
      </c>
      <c r="G84" s="8">
        <v>716</v>
      </c>
      <c r="H84" s="9">
        <v>654</v>
      </c>
      <c r="I84" s="7">
        <v>99.4</v>
      </c>
      <c r="J84" s="12">
        <v>0</v>
      </c>
      <c r="K84" s="10">
        <v>0.04</v>
      </c>
      <c r="L84" s="10">
        <v>-0.11</v>
      </c>
      <c r="M84" s="10">
        <v>-0.49</v>
      </c>
      <c r="N84" s="10">
        <v>-1.37</v>
      </c>
      <c r="O84" s="10">
        <v>-0.74</v>
      </c>
      <c r="P84" s="10">
        <v>-1.05</v>
      </c>
      <c r="Q84" s="10">
        <v>-0.83</v>
      </c>
      <c r="R84" s="10">
        <v>-1.19</v>
      </c>
      <c r="S84" s="10">
        <v>-0.68</v>
      </c>
      <c r="T84" s="10">
        <v>-0.84</v>
      </c>
      <c r="U84" s="10">
        <v>-0.81</v>
      </c>
      <c r="V84" s="10">
        <v>-0.96</v>
      </c>
      <c r="W84" s="10">
        <v>-0.75</v>
      </c>
      <c r="X84" s="10">
        <v>-0.89</v>
      </c>
      <c r="Y84" s="10">
        <v>-0.77</v>
      </c>
      <c r="Z84" s="10">
        <v>-0.82</v>
      </c>
      <c r="AA84" s="10">
        <v>-0.52</v>
      </c>
      <c r="AB84" s="10">
        <v>-0.26</v>
      </c>
      <c r="AC84" s="10">
        <v>0.02</v>
      </c>
      <c r="AD84" s="10">
        <v>0.03</v>
      </c>
      <c r="AE84" s="10">
        <v>0.02</v>
      </c>
      <c r="AF84" s="10">
        <v>0.02</v>
      </c>
      <c r="AG84" s="10">
        <v>0.03</v>
      </c>
      <c r="AH84" s="10">
        <v>0.03</v>
      </c>
      <c r="AI84" s="10">
        <v>0.03</v>
      </c>
      <c r="AJ84" s="10">
        <v>0.02</v>
      </c>
      <c r="AK84" s="10">
        <v>0.02</v>
      </c>
      <c r="AL84" s="10">
        <v>0.03</v>
      </c>
      <c r="AM84" s="10">
        <v>0.03</v>
      </c>
      <c r="AN84" s="10">
        <v>-0.7</v>
      </c>
      <c r="AO84" s="11">
        <v>0</v>
      </c>
      <c r="AP84" s="6">
        <v>22.8</v>
      </c>
      <c r="AQ84" s="10">
        <v>1.17</v>
      </c>
      <c r="AR84" s="10">
        <v>34.97</v>
      </c>
      <c r="AS84" s="11">
        <v>33.42</v>
      </c>
      <c r="AT84" s="23">
        <f t="shared" si="54"/>
        <v>74.166666666666671</v>
      </c>
      <c r="AU84" s="22">
        <f t="shared" si="55"/>
        <v>0.13822938204355106</v>
      </c>
      <c r="AV84" s="23">
        <f t="shared" si="56"/>
        <v>1.8637669489018119E-3</v>
      </c>
      <c r="AW84" s="22">
        <f t="shared" si="57"/>
        <v>1.4495965158125205E-2</v>
      </c>
      <c r="AX84">
        <f t="shared" si="34"/>
        <v>0.97847764817345106</v>
      </c>
      <c r="AY84">
        <f t="shared" si="35"/>
        <v>1.0343906566405054</v>
      </c>
      <c r="AZ84">
        <f t="shared" si="36"/>
        <v>0.82471687488905165</v>
      </c>
      <c r="BA84">
        <f t="shared" si="37"/>
        <v>0.29354329445203531</v>
      </c>
      <c r="BB84">
        <v>0.136542892</v>
      </c>
      <c r="BC84">
        <f t="shared" si="38"/>
        <v>-5.5913008467054395E-2</v>
      </c>
      <c r="BD84">
        <v>-4.89238824E-2</v>
      </c>
      <c r="BE84">
        <v>-0.15171727800000001</v>
      </c>
      <c r="BF84">
        <v>-0.1684934354</v>
      </c>
      <c r="BG84">
        <v>-0.16795650400000001</v>
      </c>
      <c r="BH84">
        <v>-0.14569552999999999</v>
      </c>
      <c r="BI84">
        <f t="shared" si="43"/>
        <v>-0.1537607732843996</v>
      </c>
      <c r="BJ84">
        <v>-0.10934345550000001</v>
      </c>
      <c r="BK84">
        <v>-0.12989126100000001</v>
      </c>
      <c r="BL84">
        <v>-1.558679E-2</v>
      </c>
      <c r="BM84">
        <f t="shared" si="46"/>
        <v>-9.7847764817345195E-2</v>
      </c>
      <c r="BN84">
        <v>0.16773902500000001</v>
      </c>
      <c r="BO84">
        <v>0.11160853799999999</v>
      </c>
      <c r="BP84">
        <v>0.80504309299999999</v>
      </c>
      <c r="BQ84">
        <v>0.83064341519999996</v>
      </c>
    </row>
    <row r="85" spans="1:69" s="1" customFormat="1" ht="16.5" x14ac:dyDescent="0.45">
      <c r="A85" s="2">
        <v>531.6</v>
      </c>
      <c r="B85" s="3">
        <v>11.85</v>
      </c>
      <c r="C85" s="4">
        <v>7.0000000000000007E-2</v>
      </c>
      <c r="D85" s="5">
        <v>0.08</v>
      </c>
      <c r="E85" s="6">
        <v>2.1</v>
      </c>
      <c r="F85" s="7">
        <v>2.1</v>
      </c>
      <c r="G85" s="8">
        <v>720</v>
      </c>
      <c r="H85" s="9">
        <v>650</v>
      </c>
      <c r="I85" s="7">
        <v>99.4</v>
      </c>
      <c r="J85" s="12">
        <v>0.02</v>
      </c>
      <c r="K85" s="10">
        <v>0.04</v>
      </c>
      <c r="L85" s="10">
        <v>-0.06</v>
      </c>
      <c r="M85" s="10">
        <v>-0.71</v>
      </c>
      <c r="N85" s="10">
        <v>-1.1299999999999999</v>
      </c>
      <c r="O85" s="10">
        <v>-0.93</v>
      </c>
      <c r="P85" s="10">
        <v>-0.89</v>
      </c>
      <c r="Q85" s="10">
        <v>-0.98</v>
      </c>
      <c r="R85" s="10">
        <v>-1.07</v>
      </c>
      <c r="S85" s="10">
        <v>-0.82</v>
      </c>
      <c r="T85" s="10">
        <v>-0.78</v>
      </c>
      <c r="U85" s="10">
        <v>-0.89</v>
      </c>
      <c r="V85" s="10">
        <v>-0.95</v>
      </c>
      <c r="W85" s="10">
        <v>-0.79</v>
      </c>
      <c r="X85" s="10">
        <v>-0.88</v>
      </c>
      <c r="Y85" s="10">
        <v>-0.82</v>
      </c>
      <c r="Z85" s="10">
        <v>-0.79</v>
      </c>
      <c r="AA85" s="10">
        <v>-0.56000000000000005</v>
      </c>
      <c r="AB85" s="10">
        <v>-0.24</v>
      </c>
      <c r="AC85" s="10">
        <v>0.02</v>
      </c>
      <c r="AD85" s="10">
        <v>0.03</v>
      </c>
      <c r="AE85" s="10">
        <v>0.02</v>
      </c>
      <c r="AF85" s="10">
        <v>0.01</v>
      </c>
      <c r="AG85" s="10">
        <v>0.03</v>
      </c>
      <c r="AH85" s="10">
        <v>0.03</v>
      </c>
      <c r="AI85" s="10">
        <v>0.03</v>
      </c>
      <c r="AJ85" s="10">
        <v>0.02</v>
      </c>
      <c r="AK85" s="10">
        <v>0.02</v>
      </c>
      <c r="AL85" s="10">
        <v>0.03</v>
      </c>
      <c r="AM85" s="10">
        <v>0.03</v>
      </c>
      <c r="AN85" s="10">
        <v>-0.71</v>
      </c>
      <c r="AO85" s="11">
        <v>0</v>
      </c>
      <c r="AP85" s="6">
        <v>22.8</v>
      </c>
      <c r="AQ85" s="10">
        <v>1.17</v>
      </c>
      <c r="AR85" s="10">
        <v>35.07</v>
      </c>
      <c r="AS85" s="11">
        <v>33.32</v>
      </c>
      <c r="AT85" s="23">
        <f t="shared" si="54"/>
        <v>169.28571428571428</v>
      </c>
      <c r="AU85" s="22">
        <f t="shared" si="55"/>
        <v>0.3659977695368562</v>
      </c>
      <c r="AV85" s="23">
        <f t="shared" si="56"/>
        <v>2.1620121407240453E-3</v>
      </c>
      <c r="AW85" s="22">
        <f t="shared" si="57"/>
        <v>1.6472473453135583E-2</v>
      </c>
      <c r="AX85">
        <f t="shared" si="34"/>
        <v>1.0146014117540698</v>
      </c>
      <c r="AY85">
        <f t="shared" si="35"/>
        <v>1.042398710706236</v>
      </c>
      <c r="AZ85">
        <f t="shared" si="36"/>
        <v>0.90341221594540444</v>
      </c>
      <c r="BA85">
        <f t="shared" si="37"/>
        <v>0</v>
      </c>
      <c r="BB85">
        <f t="shared" si="48"/>
        <v>-0.58374327799549208</v>
      </c>
      <c r="BC85">
        <f t="shared" si="38"/>
        <v>-0.30577028847382937</v>
      </c>
      <c r="BD85">
        <f t="shared" si="39"/>
        <v>-0.25017569056949673</v>
      </c>
      <c r="BE85">
        <f t="shared" si="40"/>
        <v>-0.37526353585424499</v>
      </c>
      <c r="BF85">
        <f t="shared" si="41"/>
        <v>-0.50035138113899347</v>
      </c>
      <c r="BG85">
        <f t="shared" si="42"/>
        <v>-0.1528851442369146</v>
      </c>
      <c r="BH85">
        <f t="shared" si="49"/>
        <v>-9.7290546332582106E-2</v>
      </c>
      <c r="BI85">
        <f t="shared" si="43"/>
        <v>-0.25017569056949673</v>
      </c>
      <c r="BJ85">
        <f t="shared" si="44"/>
        <v>-0.33356758742599552</v>
      </c>
      <c r="BK85">
        <f t="shared" si="50"/>
        <v>-0.11118919580866528</v>
      </c>
      <c r="BL85">
        <f t="shared" si="45"/>
        <v>-0.23627704109341355</v>
      </c>
      <c r="BM85">
        <f t="shared" si="46"/>
        <v>-0.1528851442369146</v>
      </c>
      <c r="BN85">
        <f t="shared" si="51"/>
        <v>-0.11118919580866528</v>
      </c>
      <c r="BO85">
        <f t="shared" si="52"/>
        <v>0.20847974214124709</v>
      </c>
      <c r="BP85">
        <f t="shared" si="47"/>
        <v>0.65323652537590793</v>
      </c>
      <c r="BQ85">
        <f t="shared" si="53"/>
        <v>1.0146014117540698</v>
      </c>
    </row>
    <row r="86" spans="1:69" s="1" customFormat="1" ht="16.5" x14ac:dyDescent="0.45">
      <c r="A86" s="2">
        <v>825.8</v>
      </c>
      <c r="B86" s="3">
        <v>21.11</v>
      </c>
      <c r="C86" s="4">
        <v>8.5000000000000006E-2</v>
      </c>
      <c r="D86" s="5">
        <v>7.0000000000000007E-2</v>
      </c>
      <c r="E86" s="6">
        <v>4.0999999999999996</v>
      </c>
      <c r="F86" s="7">
        <v>4.0999999999999996</v>
      </c>
      <c r="G86" s="8">
        <v>714</v>
      </c>
      <c r="H86" s="9">
        <v>634</v>
      </c>
      <c r="I86" s="7">
        <v>99.4</v>
      </c>
      <c r="J86" s="12">
        <v>0.02</v>
      </c>
      <c r="K86" s="10">
        <v>-0.01</v>
      </c>
      <c r="L86" s="10">
        <v>-0.03</v>
      </c>
      <c r="M86" s="10">
        <v>-0.96</v>
      </c>
      <c r="N86" s="10">
        <v>-0.92</v>
      </c>
      <c r="O86" s="10">
        <v>-1.1200000000000001</v>
      </c>
      <c r="P86" s="10">
        <v>-0.76</v>
      </c>
      <c r="Q86" s="10">
        <v>-1.1399999999999999</v>
      </c>
      <c r="R86" s="10">
        <v>-0.97</v>
      </c>
      <c r="S86" s="10">
        <v>-0.9</v>
      </c>
      <c r="T86" s="10">
        <v>-0.72</v>
      </c>
      <c r="U86" s="10">
        <v>-0.95</v>
      </c>
      <c r="V86" s="10">
        <v>-0.91</v>
      </c>
      <c r="W86" s="10">
        <v>-0.83</v>
      </c>
      <c r="X86" s="10">
        <v>-0.85</v>
      </c>
      <c r="Y86" s="10">
        <v>-0.87</v>
      </c>
      <c r="Z86" s="10">
        <v>-0.82</v>
      </c>
      <c r="AA86" s="10">
        <v>-0.56000000000000005</v>
      </c>
      <c r="AB86" s="10">
        <v>-0.26</v>
      </c>
      <c r="AC86" s="10">
        <v>0.02</v>
      </c>
      <c r="AD86" s="10">
        <v>0.03</v>
      </c>
      <c r="AE86" s="10">
        <v>0.02</v>
      </c>
      <c r="AF86" s="10">
        <v>0.02</v>
      </c>
      <c r="AG86" s="10">
        <v>0.03</v>
      </c>
      <c r="AH86" s="10">
        <v>0.03</v>
      </c>
      <c r="AI86" s="10">
        <v>0.03</v>
      </c>
      <c r="AJ86" s="10">
        <v>0.02</v>
      </c>
      <c r="AK86" s="10">
        <v>0.03</v>
      </c>
      <c r="AL86" s="10">
        <v>0.03</v>
      </c>
      <c r="AM86" s="10">
        <v>0.03</v>
      </c>
      <c r="AN86" s="10">
        <v>-0.71</v>
      </c>
      <c r="AO86" s="11">
        <v>0</v>
      </c>
      <c r="AP86" s="6">
        <v>22.8</v>
      </c>
      <c r="AQ86" s="10">
        <v>1.17</v>
      </c>
      <c r="AR86" s="10">
        <v>34.92</v>
      </c>
      <c r="AS86" s="11">
        <v>32.909999999999997</v>
      </c>
      <c r="AT86" s="23">
        <f t="shared" si="54"/>
        <v>248.35294117647055</v>
      </c>
      <c r="AU86" s="22">
        <f t="shared" si="55"/>
        <v>0.65761450426426216</v>
      </c>
      <c r="AV86" s="23">
        <f t="shared" si="56"/>
        <v>2.6479030252232255E-3</v>
      </c>
      <c r="AW86" s="22">
        <f t="shared" si="57"/>
        <v>1.4537506805147123E-2</v>
      </c>
      <c r="AX86">
        <f t="shared" si="34"/>
        <v>1.0233366397480346</v>
      </c>
      <c r="AY86">
        <f t="shared" si="35"/>
        <v>0.98128170934743042</v>
      </c>
      <c r="AZ86">
        <f t="shared" si="36"/>
        <v>0.95324508908036087</v>
      </c>
      <c r="BA86">
        <f t="shared" si="37"/>
        <v>-0.35045775333836804</v>
      </c>
      <c r="BB86">
        <f t="shared" si="48"/>
        <v>-0.29438451280422928</v>
      </c>
      <c r="BC86">
        <f t="shared" si="38"/>
        <v>-0.57475071547492373</v>
      </c>
      <c r="BD86">
        <f t="shared" si="39"/>
        <v>-7.0091550667673669E-2</v>
      </c>
      <c r="BE86">
        <f t="shared" si="40"/>
        <v>-0.60278733574199295</v>
      </c>
      <c r="BF86">
        <f t="shared" si="41"/>
        <v>-0.36447606347190276</v>
      </c>
      <c r="BG86">
        <f t="shared" si="42"/>
        <v>-0.26634789253715979</v>
      </c>
      <c r="BH86">
        <f t="shared" si="49"/>
        <v>-1.4018310133534733E-2</v>
      </c>
      <c r="BI86">
        <f t="shared" si="43"/>
        <v>-0.33643944320483332</v>
      </c>
      <c r="BJ86">
        <f t="shared" si="44"/>
        <v>-0.28036620267069451</v>
      </c>
      <c r="BK86">
        <f t="shared" si="50"/>
        <v>-0.16821972160241666</v>
      </c>
      <c r="BL86">
        <f t="shared" si="45"/>
        <v>-0.1962563418694861</v>
      </c>
      <c r="BM86">
        <f t="shared" si="46"/>
        <v>-0.22429296213655558</v>
      </c>
      <c r="BN86">
        <f t="shared" si="51"/>
        <v>-0.15420141146888192</v>
      </c>
      <c r="BO86">
        <f t="shared" si="52"/>
        <v>0.2102746520030207</v>
      </c>
      <c r="BP86">
        <f t="shared" si="47"/>
        <v>0.63082395600906238</v>
      </c>
      <c r="BQ86">
        <f t="shared" si="53"/>
        <v>1.0233366397480346</v>
      </c>
    </row>
    <row r="87" spans="1:69" s="1" customFormat="1" ht="16.5" x14ac:dyDescent="0.45">
      <c r="A87" s="2">
        <v>1086.8</v>
      </c>
      <c r="B87" s="3">
        <v>29.01</v>
      </c>
      <c r="C87" s="4">
        <v>0.13</v>
      </c>
      <c r="D87" s="5">
        <v>7.0000000000000007E-2</v>
      </c>
      <c r="E87" s="6">
        <v>6.1</v>
      </c>
      <c r="F87" s="7">
        <v>6.1</v>
      </c>
      <c r="G87" s="8">
        <v>722</v>
      </c>
      <c r="H87" s="9">
        <v>618</v>
      </c>
      <c r="I87" s="7">
        <v>99.4</v>
      </c>
      <c r="J87" s="12">
        <v>0.02</v>
      </c>
      <c r="K87" s="10">
        <v>-0.08</v>
      </c>
      <c r="L87" s="10">
        <v>0</v>
      </c>
      <c r="M87" s="10">
        <v>-1.26</v>
      </c>
      <c r="N87" s="10">
        <v>-0.7</v>
      </c>
      <c r="O87" s="10">
        <v>-1.33</v>
      </c>
      <c r="P87" s="10">
        <v>-0.62</v>
      </c>
      <c r="Q87" s="10">
        <v>-1.31</v>
      </c>
      <c r="R87" s="10">
        <v>-0.86</v>
      </c>
      <c r="S87" s="10">
        <v>-1.05</v>
      </c>
      <c r="T87" s="10">
        <v>-0.67</v>
      </c>
      <c r="U87" s="10">
        <v>-1.05</v>
      </c>
      <c r="V87" s="10">
        <v>-0.85</v>
      </c>
      <c r="W87" s="10">
        <v>-0.81</v>
      </c>
      <c r="X87" s="10">
        <v>-0.81</v>
      </c>
      <c r="Y87" s="10">
        <v>-0.89</v>
      </c>
      <c r="Z87" s="10">
        <v>-0.79</v>
      </c>
      <c r="AA87" s="10">
        <v>-0.59</v>
      </c>
      <c r="AB87" s="10">
        <v>-0.26</v>
      </c>
      <c r="AC87" s="10">
        <v>0.02</v>
      </c>
      <c r="AD87" s="10">
        <v>0.03</v>
      </c>
      <c r="AE87" s="10">
        <v>0.02</v>
      </c>
      <c r="AF87" s="10">
        <v>0.02</v>
      </c>
      <c r="AG87" s="10">
        <v>0.03</v>
      </c>
      <c r="AH87" s="10">
        <v>0.03</v>
      </c>
      <c r="AI87" s="10">
        <v>0.03</v>
      </c>
      <c r="AJ87" s="10">
        <v>0.02</v>
      </c>
      <c r="AK87" s="10">
        <v>0.03</v>
      </c>
      <c r="AL87" s="10">
        <v>0.03</v>
      </c>
      <c r="AM87" s="10">
        <v>0.03</v>
      </c>
      <c r="AN87" s="10">
        <v>-0.71</v>
      </c>
      <c r="AO87" s="11">
        <v>0</v>
      </c>
      <c r="AP87" s="6">
        <v>22.8</v>
      </c>
      <c r="AQ87" s="10">
        <v>1.17</v>
      </c>
      <c r="AR87" s="10">
        <v>35.119999999999997</v>
      </c>
      <c r="AS87" s="11">
        <v>32.49</v>
      </c>
      <c r="AT87" s="23">
        <f t="shared" si="54"/>
        <v>223.15384615384616</v>
      </c>
      <c r="AU87" s="22">
        <f t="shared" si="55"/>
        <v>0.89345016727087212</v>
      </c>
      <c r="AV87" s="23">
        <f t="shared" si="56"/>
        <v>4.0037408392007362E-3</v>
      </c>
      <c r="AW87" s="22">
        <f t="shared" si="57"/>
        <v>1.4372403012515465E-2</v>
      </c>
      <c r="AX87">
        <f t="shared" si="34"/>
        <v>1.0117145120595707</v>
      </c>
      <c r="AY87">
        <f t="shared" si="35"/>
        <v>0.87312348301031439</v>
      </c>
      <c r="AZ87">
        <f t="shared" si="36"/>
        <v>0.98399630624971945</v>
      </c>
      <c r="BA87">
        <f t="shared" si="37"/>
        <v>-0.76225065977090944</v>
      </c>
      <c r="BB87">
        <f t="shared" si="48"/>
        <v>1.3859102904925638E-2</v>
      </c>
      <c r="BC87">
        <f t="shared" si="38"/>
        <v>-0.85926438010538897</v>
      </c>
      <c r="BD87">
        <f t="shared" si="39"/>
        <v>0.12473192614433058</v>
      </c>
      <c r="BE87">
        <f t="shared" si="40"/>
        <v>-0.83154617429553768</v>
      </c>
      <c r="BF87">
        <f t="shared" si="41"/>
        <v>-0.20788654357388442</v>
      </c>
      <c r="BG87">
        <f t="shared" si="42"/>
        <v>-0.47120949876747131</v>
      </c>
      <c r="BH87">
        <f t="shared" si="49"/>
        <v>5.5436411619702392E-2</v>
      </c>
      <c r="BI87">
        <f t="shared" si="43"/>
        <v>-0.47120949876747131</v>
      </c>
      <c r="BJ87">
        <f t="shared" si="44"/>
        <v>-0.19402744066895874</v>
      </c>
      <c r="BK87">
        <f t="shared" si="50"/>
        <v>-0.13859102904925638</v>
      </c>
      <c r="BL87">
        <f t="shared" si="45"/>
        <v>-0.13859102904925638</v>
      </c>
      <c r="BM87">
        <f t="shared" si="46"/>
        <v>-0.24946385228866133</v>
      </c>
      <c r="BN87">
        <f t="shared" si="51"/>
        <v>-0.1108728232394051</v>
      </c>
      <c r="BO87">
        <f t="shared" si="52"/>
        <v>0.16630923485910751</v>
      </c>
      <c r="BP87">
        <f t="shared" si="47"/>
        <v>0.62365963072165309</v>
      </c>
      <c r="BQ87">
        <f t="shared" si="53"/>
        <v>1.0117145120595707</v>
      </c>
    </row>
    <row r="88" spans="1:69" s="1" customFormat="1" ht="16.5" x14ac:dyDescent="0.45">
      <c r="A88" s="2">
        <v>1293.8</v>
      </c>
      <c r="B88" s="3">
        <v>35.86</v>
      </c>
      <c r="C88" s="4">
        <v>0.52</v>
      </c>
      <c r="D88" s="5">
        <v>0.12</v>
      </c>
      <c r="E88" s="6">
        <v>8.1</v>
      </c>
      <c r="F88" s="7">
        <v>8.1</v>
      </c>
      <c r="G88" s="8">
        <v>717</v>
      </c>
      <c r="H88" s="9">
        <v>636</v>
      </c>
      <c r="I88" s="7">
        <v>99.4</v>
      </c>
      <c r="J88" s="12">
        <v>0.02</v>
      </c>
      <c r="K88" s="10">
        <v>-0.19</v>
      </c>
      <c r="L88" s="10">
        <v>0.02</v>
      </c>
      <c r="M88" s="10">
        <v>-1.61</v>
      </c>
      <c r="N88" s="10">
        <v>-0.53</v>
      </c>
      <c r="O88" s="10">
        <v>-1.58</v>
      </c>
      <c r="P88" s="10">
        <v>-0.5</v>
      </c>
      <c r="Q88" s="10">
        <v>-1.52</v>
      </c>
      <c r="R88" s="10">
        <v>-0.76</v>
      </c>
      <c r="S88" s="10">
        <v>-1.08</v>
      </c>
      <c r="T88" s="10">
        <v>-0.6</v>
      </c>
      <c r="U88" s="10">
        <v>-1.08</v>
      </c>
      <c r="V88" s="10">
        <v>-0.8</v>
      </c>
      <c r="W88" s="10">
        <v>-0.88</v>
      </c>
      <c r="X88" s="10">
        <v>-0.77</v>
      </c>
      <c r="Y88" s="10">
        <v>-0.94</v>
      </c>
      <c r="Z88" s="10">
        <v>-0.76</v>
      </c>
      <c r="AA88" s="10">
        <v>-0.63</v>
      </c>
      <c r="AB88" s="10">
        <v>-0.25</v>
      </c>
      <c r="AC88" s="10">
        <v>0.01</v>
      </c>
      <c r="AD88" s="10">
        <v>0.03</v>
      </c>
      <c r="AE88" s="10">
        <v>0.02</v>
      </c>
      <c r="AF88" s="10">
        <v>0.02</v>
      </c>
      <c r="AG88" s="10">
        <v>0.03</v>
      </c>
      <c r="AH88" s="10">
        <v>0.03</v>
      </c>
      <c r="AI88" s="10">
        <v>0.03</v>
      </c>
      <c r="AJ88" s="10">
        <v>0.02</v>
      </c>
      <c r="AK88" s="10">
        <v>0.03</v>
      </c>
      <c r="AL88" s="10">
        <v>0.03</v>
      </c>
      <c r="AM88" s="10">
        <v>0.03</v>
      </c>
      <c r="AN88" s="10">
        <v>-0.71</v>
      </c>
      <c r="AO88" s="11">
        <v>0.01</v>
      </c>
      <c r="AP88" s="6">
        <v>22.8</v>
      </c>
      <c r="AQ88" s="10">
        <v>1.17</v>
      </c>
      <c r="AR88" s="10">
        <v>35</v>
      </c>
      <c r="AS88" s="11">
        <v>32.96</v>
      </c>
      <c r="AT88" s="23">
        <f t="shared" si="54"/>
        <v>68.961538461538453</v>
      </c>
      <c r="AU88" s="22">
        <f t="shared" si="55"/>
        <v>1.1120026358121597</v>
      </c>
      <c r="AV88" s="23">
        <f t="shared" si="56"/>
        <v>1.6124968505920888E-2</v>
      </c>
      <c r="AW88" s="22">
        <f t="shared" si="57"/>
        <v>2.4807643855262906E-2</v>
      </c>
      <c r="AX88">
        <f t="shared" si="34"/>
        <v>1.018663875806733</v>
      </c>
      <c r="AY88">
        <f t="shared" si="35"/>
        <v>0.7256235827664399</v>
      </c>
      <c r="AZ88">
        <f t="shared" si="36"/>
        <v>1.018663875806733</v>
      </c>
      <c r="BA88">
        <f t="shared" si="37"/>
        <v>-1.2558869701726847</v>
      </c>
      <c r="BB88">
        <f t="shared" si="48"/>
        <v>0.25117739403453682</v>
      </c>
      <c r="BC88">
        <f t="shared" si="38"/>
        <v>-1.2140240711669286</v>
      </c>
      <c r="BD88">
        <f t="shared" si="39"/>
        <v>0.293040293040293</v>
      </c>
      <c r="BE88">
        <f t="shared" si="40"/>
        <v>-1.1302982731554161</v>
      </c>
      <c r="BF88">
        <f t="shared" si="41"/>
        <v>-6.977149834292698E-2</v>
      </c>
      <c r="BG88">
        <f t="shared" si="42"/>
        <v>-0.51630908773765938</v>
      </c>
      <c r="BH88">
        <f t="shared" si="49"/>
        <v>0.15349729635443921</v>
      </c>
      <c r="BI88">
        <f t="shared" si="43"/>
        <v>-0.51630908773765938</v>
      </c>
      <c r="BJ88">
        <f t="shared" si="44"/>
        <v>-0.12558869701726857</v>
      </c>
      <c r="BK88">
        <f t="shared" si="50"/>
        <v>-0.23722309436595154</v>
      </c>
      <c r="BL88">
        <f t="shared" si="45"/>
        <v>-8.3725798011512378E-2</v>
      </c>
      <c r="BM88">
        <f t="shared" si="46"/>
        <v>-0.32094889237746377</v>
      </c>
      <c r="BN88">
        <f t="shared" si="51"/>
        <v>-6.977149834292698E-2</v>
      </c>
      <c r="BO88">
        <f t="shared" si="52"/>
        <v>0.11163439734868301</v>
      </c>
      <c r="BP88">
        <f t="shared" si="47"/>
        <v>0.64189778475492754</v>
      </c>
      <c r="BQ88">
        <f t="shared" si="53"/>
        <v>1.0047095761381475</v>
      </c>
    </row>
    <row r="89" spans="1:69" s="1" customFormat="1" ht="16.5" x14ac:dyDescent="0.45">
      <c r="A89" s="2">
        <v>1481.6</v>
      </c>
      <c r="B89" s="3">
        <v>40.01</v>
      </c>
      <c r="C89" s="4">
        <v>1.41</v>
      </c>
      <c r="D89" s="5">
        <v>0.2</v>
      </c>
      <c r="E89" s="6">
        <v>10.1</v>
      </c>
      <c r="F89" s="7">
        <v>10.1</v>
      </c>
      <c r="G89" s="8">
        <v>718</v>
      </c>
      <c r="H89" s="9">
        <v>646</v>
      </c>
      <c r="I89" s="7">
        <v>99.4</v>
      </c>
      <c r="J89" s="12">
        <v>0.02</v>
      </c>
      <c r="K89" s="10">
        <v>-0.32</v>
      </c>
      <c r="L89" s="10">
        <v>0.03</v>
      </c>
      <c r="M89" s="10">
        <v>-2.08</v>
      </c>
      <c r="N89" s="10">
        <v>-0.36</v>
      </c>
      <c r="O89" s="10">
        <v>-1.68</v>
      </c>
      <c r="P89" s="10">
        <v>-0.38</v>
      </c>
      <c r="Q89" s="10">
        <v>-1.63</v>
      </c>
      <c r="R89" s="10">
        <v>-0.67</v>
      </c>
      <c r="S89" s="10">
        <v>-1.19</v>
      </c>
      <c r="T89" s="10">
        <v>-0.55000000000000004</v>
      </c>
      <c r="U89" s="10">
        <v>-1.1599999999999999</v>
      </c>
      <c r="V89" s="10">
        <v>-0.75</v>
      </c>
      <c r="W89" s="10">
        <v>-0.91</v>
      </c>
      <c r="X89" s="10">
        <v>-0.74</v>
      </c>
      <c r="Y89" s="10">
        <v>-0.96</v>
      </c>
      <c r="Z89" s="10">
        <v>-0.74</v>
      </c>
      <c r="AA89" s="10">
        <v>-0.63</v>
      </c>
      <c r="AB89" s="10">
        <v>-0.25</v>
      </c>
      <c r="AC89" s="10">
        <v>0.01</v>
      </c>
      <c r="AD89" s="10">
        <v>0.03</v>
      </c>
      <c r="AE89" s="10">
        <v>0.02</v>
      </c>
      <c r="AF89" s="10">
        <v>0.02</v>
      </c>
      <c r="AG89" s="10">
        <v>0.03</v>
      </c>
      <c r="AH89" s="10">
        <v>0.03</v>
      </c>
      <c r="AI89" s="10">
        <v>0.03</v>
      </c>
      <c r="AJ89" s="10">
        <v>0.02</v>
      </c>
      <c r="AK89" s="10">
        <v>0.02</v>
      </c>
      <c r="AL89" s="10">
        <v>0.03</v>
      </c>
      <c r="AM89" s="10">
        <v>0.03</v>
      </c>
      <c r="AN89" s="10">
        <v>-0.7</v>
      </c>
      <c r="AO89" s="11">
        <v>0</v>
      </c>
      <c r="AP89" s="6">
        <v>22.8</v>
      </c>
      <c r="AQ89" s="10">
        <v>1.17</v>
      </c>
      <c r="AR89" s="10">
        <v>35.020000000000003</v>
      </c>
      <c r="AS89" s="11">
        <v>33.22</v>
      </c>
      <c r="AT89" s="23">
        <f t="shared" si="54"/>
        <v>28.375886524822697</v>
      </c>
      <c r="AU89" s="22">
        <f t="shared" si="55"/>
        <v>1.2392755687142523</v>
      </c>
      <c r="AV89" s="23">
        <f t="shared" si="56"/>
        <v>4.3673545410824681E-2</v>
      </c>
      <c r="AW89" s="22">
        <f t="shared" si="57"/>
        <v>4.1298860908581266E-2</v>
      </c>
      <c r="AX89">
        <f>((J89-AN89)*10^3)/(0.5*AQ89*(AR89^2))</f>
        <v>1.0035623200785246</v>
      </c>
      <c r="AY89">
        <f t="shared" si="35"/>
        <v>0.52965789115255457</v>
      </c>
      <c r="AZ89">
        <f t="shared" si="36"/>
        <v>1.0175006856351709</v>
      </c>
      <c r="BA89">
        <f t="shared" si="37"/>
        <v>-1.9234944468171726</v>
      </c>
      <c r="BB89">
        <v>0.67390442900000003</v>
      </c>
      <c r="BC89">
        <f t="shared" si="38"/>
        <v>-1.3659598245513251</v>
      </c>
      <c r="BD89">
        <f t="shared" si="39"/>
        <v>0.44602769781267754</v>
      </c>
      <c r="BE89">
        <v>-1.2262679970000001</v>
      </c>
      <c r="BF89">
        <v>0.141815097</v>
      </c>
      <c r="BG89">
        <v>-0.74297991200000002</v>
      </c>
      <c r="BH89">
        <v>0.12907548299999999</v>
      </c>
      <c r="BI89">
        <f t="shared" si="43"/>
        <v>-0.64116481560572403</v>
      </c>
      <c r="BJ89">
        <f t="shared" si="44"/>
        <v>-6.9691827783230936E-2</v>
      </c>
      <c r="BK89">
        <v>-0.45270567699999997</v>
      </c>
      <c r="BL89">
        <f t="shared" si="45"/>
        <v>-5.5753462226584755E-2</v>
      </c>
      <c r="BM89">
        <f t="shared" si="46"/>
        <v>-0.36239750447280056</v>
      </c>
      <c r="BN89">
        <v>0.35575346200000002</v>
      </c>
      <c r="BO89">
        <v>-9.7568558999999999E-2</v>
      </c>
      <c r="BP89">
        <v>0.78722645000000002</v>
      </c>
      <c r="BQ89">
        <v>0.58962395499999998</v>
      </c>
    </row>
    <row r="90" spans="1:69" s="1" customFormat="1" ht="16.5" x14ac:dyDescent="0.45">
      <c r="A90" s="2">
        <v>1837</v>
      </c>
      <c r="B90" s="3">
        <v>31.47</v>
      </c>
      <c r="C90" s="4">
        <v>5.54</v>
      </c>
      <c r="D90" s="5">
        <v>-0.23</v>
      </c>
      <c r="E90" s="6">
        <v>10.9</v>
      </c>
      <c r="F90" s="7">
        <v>10.9</v>
      </c>
      <c r="G90" s="8">
        <v>721</v>
      </c>
      <c r="H90" s="9">
        <v>660</v>
      </c>
      <c r="I90" s="7">
        <v>99.4</v>
      </c>
      <c r="J90" s="12">
        <v>0.02</v>
      </c>
      <c r="K90" s="10">
        <v>-0.38</v>
      </c>
      <c r="L90" s="10">
        <v>0.03</v>
      </c>
      <c r="M90" s="10">
        <v>-2.33</v>
      </c>
      <c r="N90" s="10">
        <v>-0.31</v>
      </c>
      <c r="O90" s="10">
        <v>-1.74</v>
      </c>
      <c r="P90" s="10">
        <v>-0.34</v>
      </c>
      <c r="Q90" s="10">
        <v>-1.7</v>
      </c>
      <c r="R90" s="10">
        <v>-0.63</v>
      </c>
      <c r="S90" s="10">
        <v>-1.28</v>
      </c>
      <c r="T90" s="10">
        <v>-0.54</v>
      </c>
      <c r="U90" s="10">
        <v>-1.17</v>
      </c>
      <c r="V90" s="10">
        <v>-0.73</v>
      </c>
      <c r="W90" s="10">
        <v>-0.91</v>
      </c>
      <c r="X90" s="10">
        <v>-0.74</v>
      </c>
      <c r="Y90" s="10">
        <v>-0.97</v>
      </c>
      <c r="Z90" s="10">
        <v>-0.74</v>
      </c>
      <c r="AA90" s="10">
        <v>-0.63</v>
      </c>
      <c r="AB90" s="10">
        <v>-0.26</v>
      </c>
      <c r="AC90" s="10">
        <v>0.02</v>
      </c>
      <c r="AD90" s="10">
        <v>0.03</v>
      </c>
      <c r="AE90" s="10">
        <v>0.02</v>
      </c>
      <c r="AF90" s="10">
        <v>0.02</v>
      </c>
      <c r="AG90" s="10">
        <v>0.03</v>
      </c>
      <c r="AH90" s="10">
        <v>0.03</v>
      </c>
      <c r="AI90" s="10">
        <v>0.03</v>
      </c>
      <c r="AJ90" s="10">
        <v>0.02</v>
      </c>
      <c r="AK90" s="10">
        <v>0.03</v>
      </c>
      <c r="AL90" s="10">
        <v>0.03</v>
      </c>
      <c r="AM90" s="10">
        <v>0.03</v>
      </c>
      <c r="AN90" s="10">
        <v>-0.7</v>
      </c>
      <c r="AO90" s="11">
        <v>0.01</v>
      </c>
      <c r="AP90" s="6">
        <v>22.8</v>
      </c>
      <c r="AQ90" s="10">
        <v>1.17</v>
      </c>
      <c r="AR90" s="10">
        <v>35.090000000000003</v>
      </c>
      <c r="AS90" s="11">
        <v>33.58</v>
      </c>
      <c r="AT90" s="23">
        <f t="shared" si="54"/>
        <v>5.6805054151624548</v>
      </c>
      <c r="AU90" s="22">
        <f t="shared" si="55"/>
        <v>0.97087121853709513</v>
      </c>
      <c r="AV90" s="23">
        <f t="shared" si="56"/>
        <v>0.17091282334590108</v>
      </c>
      <c r="AW90" s="22">
        <f t="shared" si="57"/>
        <v>-4.730439153978009E-2</v>
      </c>
      <c r="AX90">
        <f t="shared" si="34"/>
        <v>0.9995623603623095</v>
      </c>
      <c r="AY90">
        <f t="shared" si="35"/>
        <v>0.44424993793880413</v>
      </c>
      <c r="AZ90">
        <f t="shared" si="36"/>
        <v>1.0134451709228971</v>
      </c>
      <c r="BA90">
        <f t="shared" si="37"/>
        <v>-2.2628981213757844</v>
      </c>
      <c r="BB90">
        <f t="shared" si="48"/>
        <v>0.5414296118629176</v>
      </c>
      <c r="BC90">
        <f t="shared" si="38"/>
        <v>-1.4438122983011137</v>
      </c>
      <c r="BD90">
        <f t="shared" si="39"/>
        <v>0.49978118018115469</v>
      </c>
      <c r="BE90">
        <f t="shared" si="40"/>
        <v>-1.3882810560587633</v>
      </c>
      <c r="BF90">
        <f t="shared" si="41"/>
        <v>9.7179673924113363E-2</v>
      </c>
      <c r="BG90">
        <f t="shared" si="42"/>
        <v>-0.80520301251408277</v>
      </c>
      <c r="BH90">
        <f t="shared" si="49"/>
        <v>0.22212496896940201</v>
      </c>
      <c r="BI90">
        <f t="shared" si="43"/>
        <v>-0.65249209634761873</v>
      </c>
      <c r="BJ90">
        <f t="shared" si="44"/>
        <v>-4.1648431681762937E-2</v>
      </c>
      <c r="BK90">
        <f t="shared" si="50"/>
        <v>-0.29153902177234037</v>
      </c>
      <c r="BL90">
        <f t="shared" si="45"/>
        <v>-5.5531242242350579E-2</v>
      </c>
      <c r="BM90">
        <f t="shared" si="46"/>
        <v>-0.37483588513586608</v>
      </c>
      <c r="BN90">
        <f t="shared" si="51"/>
        <v>-5.5531242242350579E-2</v>
      </c>
      <c r="BO90">
        <f t="shared" si="52"/>
        <v>9.7179673924113363E-2</v>
      </c>
      <c r="BP90">
        <f t="shared" si="47"/>
        <v>0.61084366466585571</v>
      </c>
      <c r="BQ90">
        <f t="shared" si="53"/>
        <v>0.9995623603623095</v>
      </c>
    </row>
    <row r="91" spans="1:69" s="1" customFormat="1" ht="16.5" x14ac:dyDescent="0.45">
      <c r="A91" s="2">
        <v>2055.4</v>
      </c>
      <c r="B91" s="3">
        <v>27.13</v>
      </c>
      <c r="C91" s="4">
        <v>7.25</v>
      </c>
      <c r="D91" s="5">
        <v>-0.51</v>
      </c>
      <c r="E91" s="6">
        <v>12</v>
      </c>
      <c r="F91" s="7">
        <v>12</v>
      </c>
      <c r="G91" s="8">
        <v>721</v>
      </c>
      <c r="H91" s="9">
        <v>666</v>
      </c>
      <c r="I91" s="7">
        <v>99.4</v>
      </c>
      <c r="J91" s="12">
        <v>0.02</v>
      </c>
      <c r="K91" s="10">
        <v>-0.45</v>
      </c>
      <c r="L91" s="10">
        <v>0.03</v>
      </c>
      <c r="M91" s="10">
        <v>-2.64</v>
      </c>
      <c r="N91" s="10">
        <v>-0.27</v>
      </c>
      <c r="O91" s="10">
        <v>-1.85</v>
      </c>
      <c r="P91" s="10">
        <v>-0.31</v>
      </c>
      <c r="Q91" s="10">
        <v>-1.8</v>
      </c>
      <c r="R91" s="10">
        <v>-0.6</v>
      </c>
      <c r="S91" s="10">
        <v>-1.32</v>
      </c>
      <c r="T91" s="10">
        <v>-0.52</v>
      </c>
      <c r="U91" s="10">
        <v>-1.21</v>
      </c>
      <c r="V91" s="10">
        <v>-0.73</v>
      </c>
      <c r="W91" s="10">
        <v>-0.92</v>
      </c>
      <c r="X91" s="10">
        <v>-0.74</v>
      </c>
      <c r="Y91" s="10">
        <v>-0.98</v>
      </c>
      <c r="Z91" s="10">
        <v>-0.76</v>
      </c>
      <c r="AA91" s="10">
        <v>-0.64</v>
      </c>
      <c r="AB91" s="10">
        <v>-0.26</v>
      </c>
      <c r="AC91" s="10">
        <v>0.02</v>
      </c>
      <c r="AD91" s="10">
        <v>0.03</v>
      </c>
      <c r="AE91" s="10">
        <v>0.02</v>
      </c>
      <c r="AF91" s="10">
        <v>0.02</v>
      </c>
      <c r="AG91" s="10">
        <v>0.03</v>
      </c>
      <c r="AH91" s="10">
        <v>0.03</v>
      </c>
      <c r="AI91" s="10">
        <v>0.03</v>
      </c>
      <c r="AJ91" s="10">
        <v>0.02</v>
      </c>
      <c r="AK91" s="10">
        <v>0.03</v>
      </c>
      <c r="AL91" s="10">
        <v>0.03</v>
      </c>
      <c r="AM91" s="10">
        <v>0.03</v>
      </c>
      <c r="AN91" s="10">
        <v>-0.72</v>
      </c>
      <c r="AO91" s="11">
        <v>0</v>
      </c>
      <c r="AP91" s="6">
        <v>22.8</v>
      </c>
      <c r="AQ91" s="10">
        <v>1.17</v>
      </c>
      <c r="AR91" s="10">
        <v>35.090000000000003</v>
      </c>
      <c r="AS91" s="11">
        <v>33.729999999999997</v>
      </c>
      <c r="AT91" s="23">
        <f t="shared" si="54"/>
        <v>3.7420689655172414</v>
      </c>
      <c r="AU91" s="22">
        <f t="shared" si="55"/>
        <v>0.83697922335276098</v>
      </c>
      <c r="AV91" s="23">
        <f t="shared" si="56"/>
        <v>0.22366750347613409</v>
      </c>
      <c r="AW91" s="22">
        <f t="shared" si="57"/>
        <v>-0.10489234645777323</v>
      </c>
      <c r="AX91">
        <f t="shared" si="34"/>
        <v>1.0273279814834848</v>
      </c>
      <c r="AY91">
        <f t="shared" si="35"/>
        <v>0.37483588513586596</v>
      </c>
      <c r="AZ91">
        <f t="shared" si="36"/>
        <v>1.0412107920440723</v>
      </c>
      <c r="BA91">
        <f t="shared" si="37"/>
        <v>-2.6654996276328258</v>
      </c>
      <c r="BB91">
        <f t="shared" si="48"/>
        <v>0.62472647522644331</v>
      </c>
      <c r="BC91">
        <f t="shared" si="38"/>
        <v>-1.5687575933464026</v>
      </c>
      <c r="BD91">
        <f t="shared" si="39"/>
        <v>0.56919523298409291</v>
      </c>
      <c r="BE91">
        <f t="shared" si="40"/>
        <v>-1.4993435405434643</v>
      </c>
      <c r="BF91">
        <f t="shared" si="41"/>
        <v>0.16659372672705158</v>
      </c>
      <c r="BG91">
        <f t="shared" si="42"/>
        <v>-0.83296863363525808</v>
      </c>
      <c r="BH91">
        <f t="shared" si="49"/>
        <v>0.27765621121175255</v>
      </c>
      <c r="BI91">
        <f t="shared" si="43"/>
        <v>-0.68025771746879393</v>
      </c>
      <c r="BJ91">
        <f t="shared" si="44"/>
        <v>-1.3882810560587645E-2</v>
      </c>
      <c r="BK91">
        <f t="shared" si="50"/>
        <v>-0.27765621121175271</v>
      </c>
      <c r="BL91">
        <f t="shared" si="45"/>
        <v>-2.7765621121175289E-2</v>
      </c>
      <c r="BM91">
        <f t="shared" si="46"/>
        <v>-0.36095307457527842</v>
      </c>
      <c r="BN91">
        <f t="shared" si="51"/>
        <v>-5.5531242242350579E-2</v>
      </c>
      <c r="BO91">
        <f t="shared" si="52"/>
        <v>0.111062484484701</v>
      </c>
      <c r="BP91">
        <f t="shared" si="47"/>
        <v>0.63860928578703102</v>
      </c>
      <c r="BQ91">
        <f t="shared" si="53"/>
        <v>1.0273279814834848</v>
      </c>
    </row>
    <row r="92" spans="1:69" s="1" customFormat="1" ht="16.5" x14ac:dyDescent="0.45">
      <c r="A92" s="2">
        <v>2376.9</v>
      </c>
      <c r="B92" s="3">
        <v>24.07</v>
      </c>
      <c r="C92" s="4">
        <v>8.68</v>
      </c>
      <c r="D92" s="5">
        <v>-0.56999999999999995</v>
      </c>
      <c r="E92" s="6">
        <v>13.1</v>
      </c>
      <c r="F92" s="7">
        <v>13.1</v>
      </c>
      <c r="G92" s="8">
        <v>721</v>
      </c>
      <c r="H92" s="9">
        <v>712</v>
      </c>
      <c r="I92" s="7">
        <v>99.4</v>
      </c>
      <c r="J92" s="12">
        <v>0.02</v>
      </c>
      <c r="K92" s="10">
        <v>-0.51</v>
      </c>
      <c r="L92" s="10">
        <v>0.03</v>
      </c>
      <c r="M92" s="10">
        <v>-2.74</v>
      </c>
      <c r="N92" s="10">
        <v>-0.23</v>
      </c>
      <c r="O92" s="10">
        <v>-1.94</v>
      </c>
      <c r="P92" s="10">
        <v>-0.28999999999999998</v>
      </c>
      <c r="Q92" s="10">
        <v>-1.84</v>
      </c>
      <c r="R92" s="10">
        <v>-0.57999999999999996</v>
      </c>
      <c r="S92" s="10">
        <v>-1.35</v>
      </c>
      <c r="T92" s="10">
        <v>-0.51</v>
      </c>
      <c r="U92" s="10">
        <v>-1.22</v>
      </c>
      <c r="V92" s="10">
        <v>-0.72</v>
      </c>
      <c r="W92" s="10">
        <v>-0.92</v>
      </c>
      <c r="X92" s="10">
        <v>-0.73</v>
      </c>
      <c r="Y92" s="10">
        <v>-0.98</v>
      </c>
      <c r="Z92" s="10">
        <v>-0.76</v>
      </c>
      <c r="AA92" s="10">
        <v>-0.63</v>
      </c>
      <c r="AB92" s="10">
        <v>-0.26</v>
      </c>
      <c r="AC92" s="10">
        <v>0.02</v>
      </c>
      <c r="AD92" s="10">
        <v>0.03</v>
      </c>
      <c r="AE92" s="10">
        <v>0.02</v>
      </c>
      <c r="AF92" s="10">
        <v>0.02</v>
      </c>
      <c r="AG92" s="10">
        <v>0.03</v>
      </c>
      <c r="AH92" s="10">
        <v>0.03</v>
      </c>
      <c r="AI92" s="10">
        <v>0.03</v>
      </c>
      <c r="AJ92" s="10">
        <v>0.02</v>
      </c>
      <c r="AK92" s="10">
        <v>0.03</v>
      </c>
      <c r="AL92" s="10">
        <v>0.03</v>
      </c>
      <c r="AM92" s="10">
        <v>0.03</v>
      </c>
      <c r="AN92" s="10">
        <v>-0.71</v>
      </c>
      <c r="AO92" s="11">
        <v>0</v>
      </c>
      <c r="AP92" s="6">
        <v>22.8</v>
      </c>
      <c r="AQ92" s="10">
        <v>1.17</v>
      </c>
      <c r="AR92" s="10">
        <v>35.090000000000003</v>
      </c>
      <c r="AS92" s="11">
        <v>34.869999999999997</v>
      </c>
      <c r="AT92" s="23">
        <f t="shared" si="54"/>
        <v>2.7730414746543781</v>
      </c>
      <c r="AU92" s="22">
        <f t="shared" si="55"/>
        <v>0.74257611154076519</v>
      </c>
      <c r="AV92" s="23">
        <f t="shared" si="56"/>
        <v>0.26778399036866812</v>
      </c>
      <c r="AW92" s="22">
        <f t="shared" si="57"/>
        <v>-0.1172326225116289</v>
      </c>
      <c r="AX92">
        <f t="shared" si="34"/>
        <v>1.0134451709228971</v>
      </c>
      <c r="AY92">
        <f t="shared" si="35"/>
        <v>0.27765621121175255</v>
      </c>
      <c r="AZ92">
        <f t="shared" si="36"/>
        <v>1.0273279814834848</v>
      </c>
      <c r="BA92">
        <f t="shared" si="37"/>
        <v>-2.8182105437992897</v>
      </c>
      <c r="BB92">
        <f t="shared" si="48"/>
        <v>0.66637490690820633</v>
      </c>
      <c r="BC92">
        <f t="shared" si="38"/>
        <v>-1.7075856989522789</v>
      </c>
      <c r="BD92">
        <f t="shared" si="39"/>
        <v>0.58307804354468051</v>
      </c>
      <c r="BE92">
        <f t="shared" si="40"/>
        <v>-1.5687575933464026</v>
      </c>
      <c r="BF92">
        <f t="shared" si="41"/>
        <v>0.18047653728763921</v>
      </c>
      <c r="BG92">
        <f t="shared" si="42"/>
        <v>-0.88849987587760859</v>
      </c>
      <c r="BH92">
        <f t="shared" si="49"/>
        <v>0.27765621121175255</v>
      </c>
      <c r="BI92">
        <f t="shared" si="43"/>
        <v>-0.70802333858996924</v>
      </c>
      <c r="BJ92">
        <f t="shared" si="44"/>
        <v>-1.3882810560587645E-2</v>
      </c>
      <c r="BK92">
        <f t="shared" si="50"/>
        <v>-0.29153902177234037</v>
      </c>
      <c r="BL92">
        <f t="shared" si="45"/>
        <v>-2.7765621121175289E-2</v>
      </c>
      <c r="BM92">
        <f t="shared" si="46"/>
        <v>-0.37483588513586608</v>
      </c>
      <c r="BN92">
        <f t="shared" si="51"/>
        <v>-6.941405280293822E-2</v>
      </c>
      <c r="BO92">
        <f t="shared" si="52"/>
        <v>0.111062484484701</v>
      </c>
      <c r="BP92">
        <f t="shared" si="47"/>
        <v>0.62472647522644331</v>
      </c>
      <c r="BQ92">
        <f t="shared" si="53"/>
        <v>1.0134451709228971</v>
      </c>
    </row>
    <row r="93" spans="1:69" s="1" customFormat="1" ht="16.5" x14ac:dyDescent="0.45">
      <c r="A93" s="2">
        <v>2606.6</v>
      </c>
      <c r="B93" s="3">
        <v>23.64</v>
      </c>
      <c r="C93" s="4">
        <v>9.86</v>
      </c>
      <c r="D93" s="5">
        <v>-0.57999999999999996</v>
      </c>
      <c r="E93" s="6">
        <v>13.9</v>
      </c>
      <c r="F93" s="7">
        <v>13.9</v>
      </c>
      <c r="G93" s="8">
        <v>722</v>
      </c>
      <c r="H93" s="9">
        <v>694</v>
      </c>
      <c r="I93" s="7">
        <v>99.4</v>
      </c>
      <c r="J93" s="12">
        <v>0.01</v>
      </c>
      <c r="K93" s="10">
        <v>-0.61</v>
      </c>
      <c r="L93" s="10">
        <v>0.03</v>
      </c>
      <c r="M93" s="10">
        <v>-2.5299999999999998</v>
      </c>
      <c r="N93" s="10">
        <v>-0.18</v>
      </c>
      <c r="O93" s="10">
        <v>-2.0299999999999998</v>
      </c>
      <c r="P93" s="10">
        <v>-0.24</v>
      </c>
      <c r="Q93" s="10">
        <v>-1.91</v>
      </c>
      <c r="R93" s="10">
        <v>-0.54</v>
      </c>
      <c r="S93" s="10">
        <v>-1.39</v>
      </c>
      <c r="T93" s="10">
        <v>-0.49</v>
      </c>
      <c r="U93" s="10">
        <v>-1.24</v>
      </c>
      <c r="V93" s="10">
        <v>-0.7</v>
      </c>
      <c r="W93" s="10">
        <v>-0.91</v>
      </c>
      <c r="X93" s="10">
        <v>-0.72</v>
      </c>
      <c r="Y93" s="10">
        <v>-0.97</v>
      </c>
      <c r="Z93" s="10">
        <v>-0.76</v>
      </c>
      <c r="AA93" s="10">
        <v>-0.63</v>
      </c>
      <c r="AB93" s="10">
        <v>-0.26</v>
      </c>
      <c r="AC93" s="10">
        <v>0.02</v>
      </c>
      <c r="AD93" s="10">
        <v>0.03</v>
      </c>
      <c r="AE93" s="10">
        <v>0.02</v>
      </c>
      <c r="AF93" s="10">
        <v>0.02</v>
      </c>
      <c r="AG93" s="10">
        <v>0.03</v>
      </c>
      <c r="AH93" s="10">
        <v>0.03</v>
      </c>
      <c r="AI93" s="10">
        <v>0.03</v>
      </c>
      <c r="AJ93" s="10">
        <v>0.02</v>
      </c>
      <c r="AK93" s="10">
        <v>0.03</v>
      </c>
      <c r="AL93" s="10">
        <v>0.03</v>
      </c>
      <c r="AM93" s="10">
        <v>0.03</v>
      </c>
      <c r="AN93" s="10">
        <v>-0.71</v>
      </c>
      <c r="AO93" s="11">
        <v>0</v>
      </c>
      <c r="AP93" s="6">
        <v>22.8</v>
      </c>
      <c r="AQ93" s="10">
        <v>1.17</v>
      </c>
      <c r="AR93" s="10">
        <v>35.119999999999997</v>
      </c>
      <c r="AS93" s="11">
        <v>34.43</v>
      </c>
      <c r="AT93" s="23">
        <f t="shared" si="54"/>
        <v>2.3975659229208928</v>
      </c>
      <c r="AU93" s="22">
        <f t="shared" si="55"/>
        <v>0.72806487260542629</v>
      </c>
      <c r="AV93" s="23">
        <f t="shared" si="56"/>
        <v>0.30366834365014816</v>
      </c>
      <c r="AW93" s="22">
        <f t="shared" si="57"/>
        <v>-0.11908562496084241</v>
      </c>
      <c r="AX93">
        <f t="shared" si="34"/>
        <v>0.99785540915464499</v>
      </c>
      <c r="AY93">
        <v>0.83859102900000004</v>
      </c>
      <c r="AZ93">
        <f t="shared" si="36"/>
        <v>1.0255736149644963</v>
      </c>
      <c r="BA93">
        <v>-1.8723567290000001</v>
      </c>
      <c r="BB93">
        <f t="shared" si="48"/>
        <v>0.73453245396105815</v>
      </c>
      <c r="BC93">
        <v>-1.689401583</v>
      </c>
      <c r="BD93">
        <f t="shared" si="39"/>
        <v>0.65137783653150438</v>
      </c>
      <c r="BE93">
        <v>-1.4630923490000001</v>
      </c>
      <c r="BF93">
        <f t="shared" si="41"/>
        <v>0.23560474938373555</v>
      </c>
      <c r="BG93">
        <f t="shared" si="42"/>
        <v>-0.9424189975349424</v>
      </c>
      <c r="BH93">
        <v>0.15490026400000001</v>
      </c>
      <c r="BI93">
        <f t="shared" si="43"/>
        <v>-0.73453245396105815</v>
      </c>
      <c r="BJ93">
        <f t="shared" si="44"/>
        <v>1.3859102904925638E-2</v>
      </c>
      <c r="BK93">
        <v>-0.577182058</v>
      </c>
      <c r="BL93">
        <f t="shared" si="45"/>
        <v>-1.3859102904925638E-2</v>
      </c>
      <c r="BM93">
        <f t="shared" si="46"/>
        <v>-0.36033667552806625</v>
      </c>
      <c r="BN93">
        <v>0.26929551499999999</v>
      </c>
      <c r="BO93">
        <v>3.0872823000000001E-2</v>
      </c>
      <c r="BP93">
        <f t="shared" si="47"/>
        <v>0.62365963072165309</v>
      </c>
      <c r="BQ93">
        <v>0.47117145119999998</v>
      </c>
    </row>
    <row r="94" spans="1:69" s="1" customFormat="1" ht="16.5" x14ac:dyDescent="0.45">
      <c r="A94" s="2">
        <v>2820.9</v>
      </c>
      <c r="B94" s="3">
        <v>23.24</v>
      </c>
      <c r="C94" s="4">
        <v>10.98</v>
      </c>
      <c r="D94" s="5">
        <v>-0.59</v>
      </c>
      <c r="E94" s="6">
        <v>15.1</v>
      </c>
      <c r="F94" s="7">
        <v>15.1</v>
      </c>
      <c r="G94" s="8">
        <v>724</v>
      </c>
      <c r="H94" s="9">
        <v>736</v>
      </c>
      <c r="I94" s="7">
        <v>99.4</v>
      </c>
      <c r="J94" s="12">
        <v>0</v>
      </c>
      <c r="K94" s="10">
        <v>-0.67</v>
      </c>
      <c r="L94" s="10">
        <v>0.03</v>
      </c>
      <c r="M94" s="10">
        <v>-2.42</v>
      </c>
      <c r="N94" s="10">
        <v>-0.15</v>
      </c>
      <c r="O94" s="10">
        <v>-2.1</v>
      </c>
      <c r="P94" s="10">
        <v>-0.23</v>
      </c>
      <c r="Q94" s="10">
        <v>-1.93</v>
      </c>
      <c r="R94" s="10">
        <v>-0.52</v>
      </c>
      <c r="S94" s="10">
        <v>-1.4</v>
      </c>
      <c r="T94" s="10">
        <v>-0.48</v>
      </c>
      <c r="U94" s="10">
        <v>-1.21</v>
      </c>
      <c r="V94" s="10">
        <v>-0.69</v>
      </c>
      <c r="W94" s="10">
        <v>-0.86</v>
      </c>
      <c r="X94" s="10">
        <v>-0.72</v>
      </c>
      <c r="Y94" s="10">
        <v>-0.95</v>
      </c>
      <c r="Z94" s="10">
        <v>-0.77</v>
      </c>
      <c r="AA94" s="10">
        <v>-0.63</v>
      </c>
      <c r="AB94" s="10">
        <v>-0.27</v>
      </c>
      <c r="AC94" s="10">
        <v>0.02</v>
      </c>
      <c r="AD94" s="10">
        <v>0.03</v>
      </c>
      <c r="AE94" s="10">
        <v>0.02</v>
      </c>
      <c r="AF94" s="10">
        <v>0.02</v>
      </c>
      <c r="AG94" s="10">
        <v>0.03</v>
      </c>
      <c r="AH94" s="10">
        <v>0.03</v>
      </c>
      <c r="AI94" s="10">
        <v>0.03</v>
      </c>
      <c r="AJ94" s="10">
        <v>0.02</v>
      </c>
      <c r="AK94" s="10">
        <v>0.03</v>
      </c>
      <c r="AL94" s="10">
        <v>0.03</v>
      </c>
      <c r="AM94" s="10">
        <v>0.03</v>
      </c>
      <c r="AN94" s="10">
        <v>-0.7</v>
      </c>
      <c r="AO94" s="11">
        <v>0.01</v>
      </c>
      <c r="AP94" s="6">
        <v>22.8</v>
      </c>
      <c r="AQ94" s="10">
        <v>1.17</v>
      </c>
      <c r="AR94" s="10">
        <v>35.17</v>
      </c>
      <c r="AS94" s="11">
        <v>35.46</v>
      </c>
      <c r="AT94" s="23">
        <f t="shared" si="54"/>
        <v>2.1165755919854279</v>
      </c>
      <c r="AU94" s="22">
        <f t="shared" si="55"/>
        <v>0.71371201379832694</v>
      </c>
      <c r="AV94" s="23">
        <f t="shared" si="56"/>
        <v>0.33720128706994973</v>
      </c>
      <c r="AW94" s="22">
        <f t="shared" si="57"/>
        <v>-0.12079463228370996</v>
      </c>
      <c r="AX94">
        <f t="shared" si="34"/>
        <v>0.96738074159411791</v>
      </c>
      <c r="AY94">
        <f t="shared" si="35"/>
        <v>4.1459174639747798E-2</v>
      </c>
      <c r="AZ94">
        <f t="shared" si="36"/>
        <v>1.0088399162338659</v>
      </c>
      <c r="BA94">
        <f t="shared" si="37"/>
        <v>-2.3769926793455469</v>
      </c>
      <c r="BB94">
        <f t="shared" si="48"/>
        <v>0.76008486839537825</v>
      </c>
      <c r="BC94">
        <f t="shared" si="38"/>
        <v>-1.9347614831882363</v>
      </c>
      <c r="BD94">
        <f t="shared" si="39"/>
        <v>0.64952706935605065</v>
      </c>
      <c r="BE94">
        <f t="shared" si="40"/>
        <v>-1.6998261602296645</v>
      </c>
      <c r="BF94">
        <f t="shared" si="41"/>
        <v>0.2487550478384874</v>
      </c>
      <c r="BG94">
        <f t="shared" si="42"/>
        <v>-0.96738074159411791</v>
      </c>
      <c r="BH94">
        <f t="shared" si="49"/>
        <v>0.30403394735815131</v>
      </c>
      <c r="BI94">
        <f t="shared" si="43"/>
        <v>-0.70480596887571456</v>
      </c>
      <c r="BJ94">
        <f t="shared" si="44"/>
        <v>1.3819724879915982E-2</v>
      </c>
      <c r="BK94">
        <f t="shared" si="50"/>
        <v>-0.22111559807865558</v>
      </c>
      <c r="BL94">
        <f t="shared" si="45"/>
        <v>-2.7639449759831965E-2</v>
      </c>
      <c r="BM94">
        <f t="shared" si="46"/>
        <v>-0.34549312199789928</v>
      </c>
      <c r="BN94">
        <f t="shared" si="51"/>
        <v>-9.673807415941188E-2</v>
      </c>
      <c r="BO94">
        <f t="shared" si="52"/>
        <v>9.6738074159411741E-2</v>
      </c>
      <c r="BP94">
        <f t="shared" si="47"/>
        <v>0.59424816983638662</v>
      </c>
      <c r="BQ94">
        <f t="shared" si="53"/>
        <v>0.99502019135394992</v>
      </c>
    </row>
    <row r="95" spans="1:69" s="1" customFormat="1" ht="16.5" x14ac:dyDescent="0.45">
      <c r="A95" s="2">
        <v>3035.9</v>
      </c>
      <c r="B95" s="3">
        <v>23.42</v>
      </c>
      <c r="C95" s="4">
        <v>11.56</v>
      </c>
      <c r="D95" s="5">
        <v>-0.62</v>
      </c>
      <c r="E95" s="6">
        <v>16</v>
      </c>
      <c r="F95" s="7">
        <v>16</v>
      </c>
      <c r="G95" s="8">
        <v>718</v>
      </c>
      <c r="H95" s="9">
        <v>726</v>
      </c>
      <c r="I95" s="7">
        <v>99.4</v>
      </c>
      <c r="J95" s="12">
        <v>0.03</v>
      </c>
      <c r="K95" s="10">
        <v>-0.09</v>
      </c>
      <c r="L95" s="10">
        <v>0.03</v>
      </c>
      <c r="M95" s="10">
        <v>-1.1399999999999999</v>
      </c>
      <c r="N95" s="10">
        <v>-0.33</v>
      </c>
      <c r="O95" s="10">
        <v>-1.38</v>
      </c>
      <c r="P95" s="10">
        <v>-0.36</v>
      </c>
      <c r="Q95" s="10">
        <v>-1.36</v>
      </c>
      <c r="R95" s="10">
        <v>-0.65</v>
      </c>
      <c r="S95" s="10">
        <v>-1.36</v>
      </c>
      <c r="T95" s="10">
        <v>-0.56000000000000005</v>
      </c>
      <c r="U95" s="10">
        <v>-1.31</v>
      </c>
      <c r="V95" s="10">
        <v>-0.78</v>
      </c>
      <c r="W95" s="10">
        <v>-1.06</v>
      </c>
      <c r="X95" s="10">
        <v>-0.81</v>
      </c>
      <c r="Y95" s="10">
        <v>-1.22</v>
      </c>
      <c r="Z95" s="10">
        <v>-0.87</v>
      </c>
      <c r="AA95" s="10">
        <v>-0.84</v>
      </c>
      <c r="AB95" s="10">
        <v>-0.32</v>
      </c>
      <c r="AC95" s="10">
        <v>0.01</v>
      </c>
      <c r="AD95" s="10">
        <v>0.03</v>
      </c>
      <c r="AE95" s="10">
        <v>0.02</v>
      </c>
      <c r="AF95" s="10">
        <v>0.02</v>
      </c>
      <c r="AG95" s="10">
        <v>0.03</v>
      </c>
      <c r="AH95" s="10">
        <v>0.03</v>
      </c>
      <c r="AI95" s="10">
        <v>0.03</v>
      </c>
      <c r="AJ95" s="10">
        <v>0.02</v>
      </c>
      <c r="AK95" s="10">
        <v>0.03</v>
      </c>
      <c r="AL95" s="10">
        <v>0.03</v>
      </c>
      <c r="AM95" s="10">
        <v>0.03</v>
      </c>
      <c r="AN95" s="10">
        <v>-0.69</v>
      </c>
      <c r="AO95" s="11">
        <v>0.01</v>
      </c>
      <c r="AP95" s="6">
        <v>22.8</v>
      </c>
      <c r="AQ95" s="10">
        <v>1.17</v>
      </c>
      <c r="AR95" s="10">
        <v>35.020000000000003</v>
      </c>
      <c r="AS95" s="11">
        <v>35.22</v>
      </c>
      <c r="AT95" s="23">
        <f t="shared" si="54"/>
        <v>2.0259515570934257</v>
      </c>
      <c r="AU95" s="22">
        <f t="shared" si="55"/>
        <v>0.7254144918592299</v>
      </c>
      <c r="AV95" s="23">
        <f t="shared" si="56"/>
        <v>0.35806112407739954</v>
      </c>
      <c r="AW95" s="22">
        <f t="shared" si="57"/>
        <v>-0.1280264688166019</v>
      </c>
      <c r="AX95">
        <f t="shared" si="34"/>
        <v>1.0035623200785246</v>
      </c>
      <c r="AY95">
        <f t="shared" si="35"/>
        <v>0.83630193339877057</v>
      </c>
      <c r="AZ95">
        <f t="shared" si="36"/>
        <v>1.0035623200785246</v>
      </c>
      <c r="BA95">
        <f t="shared" si="37"/>
        <v>-0.62722645004907784</v>
      </c>
      <c r="BB95">
        <f t="shared" si="48"/>
        <v>0.50178116003926221</v>
      </c>
      <c r="BC95">
        <f t="shared" si="38"/>
        <v>-0.96174722340858609</v>
      </c>
      <c r="BD95">
        <f t="shared" si="39"/>
        <v>0.45996606336932372</v>
      </c>
      <c r="BE95">
        <f t="shared" si="40"/>
        <v>-0.93387049229529395</v>
      </c>
      <c r="BF95">
        <f t="shared" si="41"/>
        <v>5.5753462226584595E-2</v>
      </c>
      <c r="BG95">
        <f t="shared" si="42"/>
        <v>-0.93387049229529395</v>
      </c>
      <c r="BH95">
        <f t="shared" si="49"/>
        <v>0.18119875223640014</v>
      </c>
      <c r="BI95">
        <f t="shared" si="43"/>
        <v>-0.86417866451206304</v>
      </c>
      <c r="BJ95">
        <f t="shared" si="44"/>
        <v>-0.12544529000981569</v>
      </c>
      <c r="BK95">
        <f t="shared" si="50"/>
        <v>-0.51571952559590861</v>
      </c>
      <c r="BL95">
        <f t="shared" si="45"/>
        <v>-0.16726038667975426</v>
      </c>
      <c r="BM95">
        <f t="shared" si="46"/>
        <v>-0.7387333745022473</v>
      </c>
      <c r="BN95">
        <f t="shared" si="51"/>
        <v>-0.25089058001963127</v>
      </c>
      <c r="BO95">
        <f t="shared" si="52"/>
        <v>-0.20907548334969267</v>
      </c>
      <c r="BP95">
        <f t="shared" si="47"/>
        <v>0.51571952559590839</v>
      </c>
      <c r="BQ95">
        <f t="shared" si="53"/>
        <v>0.97568558896523228</v>
      </c>
    </row>
    <row r="96" spans="1:69" ht="14.5" x14ac:dyDescent="0.35">
      <c r="A96" s="25" t="s">
        <v>103</v>
      </c>
      <c r="B96" s="25">
        <f>(B22*B23*35)/B24</f>
        <v>339364.64088397787</v>
      </c>
      <c r="AU96"/>
      <c r="AV96"/>
      <c r="AW96"/>
    </row>
    <row r="97" customFormat="1" ht="14.5" x14ac:dyDescent="0.35"/>
    <row r="98" customFormat="1" ht="14.5" x14ac:dyDescent="0.35"/>
    <row r="99" customFormat="1" ht="14.5" x14ac:dyDescent="0.35"/>
    <row r="100" customFormat="1" ht="14.5" x14ac:dyDescent="0.35"/>
    <row r="101" customFormat="1" ht="14.5" x14ac:dyDescent="0.35"/>
    <row r="102" customFormat="1" ht="14.5" x14ac:dyDescent="0.35"/>
    <row r="103" customFormat="1" ht="14.5" x14ac:dyDescent="0.35"/>
    <row r="104" customFormat="1" ht="14.5" x14ac:dyDescent="0.35"/>
    <row r="105" customFormat="1" ht="14.5" x14ac:dyDescent="0.35"/>
    <row r="106" customFormat="1" ht="14.5" x14ac:dyDescent="0.35"/>
    <row r="107" customFormat="1" ht="14.5" x14ac:dyDescent="0.35"/>
    <row r="108" customFormat="1" ht="14.5" x14ac:dyDescent="0.35"/>
    <row r="109" customFormat="1" ht="14.5" x14ac:dyDescent="0.35"/>
    <row r="110" customFormat="1" ht="14.5" x14ac:dyDescent="0.35"/>
    <row r="111" customFormat="1" ht="14.5" x14ac:dyDescent="0.35"/>
    <row r="112" customFormat="1" ht="14.5" x14ac:dyDescent="0.35"/>
    <row r="113" customFormat="1" ht="14.5" x14ac:dyDescent="0.35"/>
    <row r="114" customFormat="1" ht="14.5" x14ac:dyDescent="0.35"/>
    <row r="115" customFormat="1" ht="14.5" x14ac:dyDescent="0.35"/>
    <row r="116" customFormat="1" ht="14.5" x14ac:dyDescent="0.35"/>
    <row r="117" customFormat="1" ht="14.5" x14ac:dyDescent="0.35"/>
    <row r="118" customFormat="1" ht="14.5" x14ac:dyDescent="0.35"/>
    <row r="119" customFormat="1" ht="14.5" x14ac:dyDescent="0.35"/>
    <row r="120" customFormat="1" ht="14.5" x14ac:dyDescent="0.35"/>
    <row r="121" customFormat="1" ht="14.5" x14ac:dyDescent="0.35"/>
    <row r="122" customFormat="1" ht="14.5" x14ac:dyDescent="0.35"/>
    <row r="123" customFormat="1" ht="14.5" x14ac:dyDescent="0.35"/>
    <row r="124" customFormat="1" ht="14.5" x14ac:dyDescent="0.35"/>
    <row r="125" customFormat="1" ht="14.5" x14ac:dyDescent="0.35"/>
    <row r="126" customFormat="1" ht="14.5" x14ac:dyDescent="0.35"/>
    <row r="127" customFormat="1" ht="14.5" x14ac:dyDescent="0.35"/>
    <row r="128" customFormat="1" ht="14.5" x14ac:dyDescent="0.35"/>
    <row r="129" customFormat="1" ht="14.5" x14ac:dyDescent="0.35"/>
    <row r="130" customFormat="1" ht="14.5" x14ac:dyDescent="0.35"/>
    <row r="131" customFormat="1" ht="14.5" x14ac:dyDescent="0.35"/>
    <row r="132" customFormat="1" ht="14.5" x14ac:dyDescent="0.35"/>
    <row r="133" customFormat="1" ht="14.5" x14ac:dyDescent="0.35"/>
    <row r="134" customFormat="1" ht="14.5" x14ac:dyDescent="0.35"/>
    <row r="135" customFormat="1" ht="14.5" x14ac:dyDescent="0.35"/>
    <row r="136" customFormat="1" ht="14.5" x14ac:dyDescent="0.35"/>
    <row r="137" customFormat="1" ht="14.5" x14ac:dyDescent="0.35"/>
    <row r="138" customFormat="1" ht="14.5" x14ac:dyDescent="0.35"/>
    <row r="139" customFormat="1" ht="14.5" x14ac:dyDescent="0.35"/>
    <row r="140" customFormat="1" ht="14.5" x14ac:dyDescent="0.35"/>
    <row r="141" customFormat="1" ht="14.5" x14ac:dyDescent="0.35"/>
    <row r="142" customFormat="1" ht="14.5" x14ac:dyDescent="0.35"/>
    <row r="143" customFormat="1" ht="14.5" x14ac:dyDescent="0.35"/>
    <row r="144" customFormat="1" ht="14.5" x14ac:dyDescent="0.35"/>
    <row r="145" customFormat="1" ht="14.5" x14ac:dyDescent="0.35"/>
    <row r="146" customFormat="1" ht="14.5" x14ac:dyDescent="0.35"/>
    <row r="147" customFormat="1" ht="14.5" x14ac:dyDescent="0.35"/>
    <row r="148" customFormat="1" ht="14.5" x14ac:dyDescent="0.35"/>
    <row r="149" customFormat="1" ht="14.5" x14ac:dyDescent="0.35"/>
    <row r="150" customFormat="1" ht="14.5" x14ac:dyDescent="0.35"/>
    <row r="151" customFormat="1" ht="14.5" x14ac:dyDescent="0.35"/>
    <row r="152" customFormat="1" ht="14.5" x14ac:dyDescent="0.35"/>
    <row r="153" customFormat="1" ht="14.5" x14ac:dyDescent="0.35"/>
    <row r="154" customFormat="1" ht="14.5" x14ac:dyDescent="0.35"/>
    <row r="155" customFormat="1" ht="14.5" x14ac:dyDescent="0.35"/>
    <row r="156" customFormat="1" ht="14.5" x14ac:dyDescent="0.35"/>
    <row r="157" customFormat="1" ht="14.5" x14ac:dyDescent="0.35"/>
    <row r="158" customFormat="1" ht="14.5" x14ac:dyDescent="0.35"/>
    <row r="159" customFormat="1" ht="14.5" x14ac:dyDescent="0.35"/>
    <row r="160" customFormat="1" ht="14.5" x14ac:dyDescent="0.35"/>
    <row r="161" customFormat="1" ht="14.5" x14ac:dyDescent="0.35"/>
    <row r="162" customFormat="1" ht="14.5" x14ac:dyDescent="0.35"/>
    <row r="163" customFormat="1" ht="14.5" x14ac:dyDescent="0.35"/>
    <row r="164" customFormat="1" ht="14.5" x14ac:dyDescent="0.35"/>
    <row r="165" customFormat="1" ht="14.5" x14ac:dyDescent="0.35"/>
    <row r="166" customFormat="1" ht="14.5" x14ac:dyDescent="0.35"/>
    <row r="167" customFormat="1" ht="14.5" x14ac:dyDescent="0.35"/>
    <row r="168" customFormat="1" ht="14.5" x14ac:dyDescent="0.35"/>
    <row r="169" customFormat="1" ht="14.5" x14ac:dyDescent="0.35"/>
    <row r="170" customFormat="1" ht="14.5" x14ac:dyDescent="0.35"/>
    <row r="171" customFormat="1" ht="14.5" x14ac:dyDescent="0.35"/>
    <row r="172" customFormat="1" ht="14.5" x14ac:dyDescent="0.35"/>
    <row r="173" customFormat="1" ht="14.5" x14ac:dyDescent="0.35"/>
    <row r="174" customFormat="1" ht="14.5" x14ac:dyDescent="0.35"/>
    <row r="175" customFormat="1" ht="14.5" x14ac:dyDescent="0.35"/>
    <row r="176" customFormat="1" ht="14.5" x14ac:dyDescent="0.35"/>
    <row r="177" customFormat="1" ht="14.5" x14ac:dyDescent="0.35"/>
    <row r="178" customFormat="1" ht="14.5" x14ac:dyDescent="0.35"/>
    <row r="179" customFormat="1" ht="14.5" x14ac:dyDescent="0.35"/>
    <row r="180" customFormat="1" ht="14.5" x14ac:dyDescent="0.35"/>
    <row r="181" customFormat="1" ht="14.5" x14ac:dyDescent="0.35"/>
    <row r="182" customFormat="1" ht="14.5" x14ac:dyDescent="0.35"/>
    <row r="183" customFormat="1" ht="14.5" x14ac:dyDescent="0.35"/>
    <row r="184" customFormat="1" ht="14.5" x14ac:dyDescent="0.35"/>
    <row r="185" customFormat="1" ht="14.5" x14ac:dyDescent="0.35"/>
    <row r="186" customFormat="1" ht="14.5" x14ac:dyDescent="0.35"/>
    <row r="187" customFormat="1" ht="14.5" x14ac:dyDescent="0.35"/>
    <row r="188" customFormat="1" ht="14.5" x14ac:dyDescent="0.35"/>
    <row r="189" customFormat="1" ht="14.5" x14ac:dyDescent="0.35"/>
    <row r="190" customFormat="1" ht="14.5" x14ac:dyDescent="0.35"/>
    <row r="191" customFormat="1" ht="14.5" x14ac:dyDescent="0.35"/>
    <row r="192" customFormat="1" ht="14.5" x14ac:dyDescent="0.35"/>
    <row r="193" customFormat="1" ht="14.5" x14ac:dyDescent="0.35"/>
    <row r="194" customFormat="1" ht="14.5" x14ac:dyDescent="0.35"/>
    <row r="195" customFormat="1" ht="14.5" x14ac:dyDescent="0.35"/>
    <row r="196" customFormat="1" ht="14.5" x14ac:dyDescent="0.35"/>
    <row r="197" customFormat="1" ht="14.5" x14ac:dyDescent="0.35"/>
    <row r="198" customFormat="1" ht="14.5" x14ac:dyDescent="0.35"/>
    <row r="199" customFormat="1" ht="14.5" x14ac:dyDescent="0.35"/>
    <row r="200" customFormat="1" ht="14.5" x14ac:dyDescent="0.35"/>
    <row r="201" customFormat="1" ht="14.5" x14ac:dyDescent="0.35"/>
    <row r="202" customFormat="1" ht="14.5" x14ac:dyDescent="0.35"/>
    <row r="203" customFormat="1" ht="14.5" x14ac:dyDescent="0.35"/>
    <row r="204" customFormat="1" ht="14.5" x14ac:dyDescent="0.35"/>
    <row r="205" customFormat="1" ht="14.5" x14ac:dyDescent="0.35"/>
    <row r="206" customFormat="1" ht="14.5" x14ac:dyDescent="0.35"/>
    <row r="207" customFormat="1" ht="14.5" x14ac:dyDescent="0.35"/>
    <row r="208" customFormat="1" ht="14.5" x14ac:dyDescent="0.35"/>
    <row r="209" customFormat="1" ht="14.5" x14ac:dyDescent="0.35"/>
    <row r="210" customFormat="1" ht="14.5" x14ac:dyDescent="0.35"/>
    <row r="211" customFormat="1" ht="14.5" x14ac:dyDescent="0.35"/>
    <row r="212" customFormat="1" ht="14.5" x14ac:dyDescent="0.35"/>
    <row r="213" customFormat="1" ht="14.5" x14ac:dyDescent="0.35"/>
    <row r="214" customFormat="1" ht="14.5" x14ac:dyDescent="0.35"/>
    <row r="215" customFormat="1" ht="14.5" x14ac:dyDescent="0.35"/>
    <row r="216" customFormat="1" ht="14.5" x14ac:dyDescent="0.35"/>
    <row r="217" customFormat="1" ht="14.5" x14ac:dyDescent="0.35"/>
    <row r="218" customFormat="1" ht="14.5" x14ac:dyDescent="0.35"/>
    <row r="219" customFormat="1" ht="14.5" x14ac:dyDescent="0.35"/>
    <row r="220" customFormat="1" ht="14.5" x14ac:dyDescent="0.35"/>
    <row r="221" customFormat="1" ht="14.5" x14ac:dyDescent="0.35"/>
    <row r="222" customFormat="1" ht="14.5" x14ac:dyDescent="0.35"/>
    <row r="223" customFormat="1" ht="14.5" x14ac:dyDescent="0.35"/>
    <row r="224" customFormat="1" ht="14.5" x14ac:dyDescent="0.35"/>
    <row r="225" customFormat="1" ht="14.5" x14ac:dyDescent="0.35"/>
    <row r="226" customFormat="1" ht="14.5" x14ac:dyDescent="0.35"/>
    <row r="227" customFormat="1" ht="14.5" x14ac:dyDescent="0.35"/>
    <row r="228" customFormat="1" ht="14.5" x14ac:dyDescent="0.35"/>
    <row r="229" customFormat="1" ht="14.5" x14ac:dyDescent="0.35"/>
    <row r="230" customFormat="1" ht="14.5" x14ac:dyDescent="0.35"/>
    <row r="231" customFormat="1" ht="14.5" x14ac:dyDescent="0.35"/>
    <row r="232" customFormat="1" ht="14.5" x14ac:dyDescent="0.35"/>
    <row r="233" customFormat="1" ht="14.5" x14ac:dyDescent="0.35"/>
    <row r="234" customFormat="1" ht="14.5" x14ac:dyDescent="0.35"/>
    <row r="235" customFormat="1" ht="14.5" x14ac:dyDescent="0.35"/>
    <row r="236" customFormat="1" ht="14.5" x14ac:dyDescent="0.35"/>
    <row r="237" customFormat="1" ht="14.5" x14ac:dyDescent="0.35"/>
    <row r="238" customFormat="1" ht="14.5" x14ac:dyDescent="0.35"/>
    <row r="239" customFormat="1" ht="14.5" x14ac:dyDescent="0.35"/>
    <row r="240" customFormat="1" ht="14.5" x14ac:dyDescent="0.35"/>
    <row r="241" customFormat="1" ht="14.5" x14ac:dyDescent="0.35"/>
    <row r="242" customFormat="1" ht="14.5" x14ac:dyDescent="0.35"/>
    <row r="243" customFormat="1" ht="14.5" x14ac:dyDescent="0.35"/>
    <row r="244" customFormat="1" ht="14.5" x14ac:dyDescent="0.35"/>
    <row r="245" customFormat="1" ht="14.5" x14ac:dyDescent="0.35"/>
    <row r="246" customFormat="1" ht="14.5" x14ac:dyDescent="0.35"/>
    <row r="247" customFormat="1" ht="14.5" x14ac:dyDescent="0.35"/>
    <row r="248" customFormat="1" ht="14.5" x14ac:dyDescent="0.35"/>
    <row r="249" customFormat="1" ht="14.5" x14ac:dyDescent="0.35"/>
    <row r="250" customFormat="1" ht="14.5" x14ac:dyDescent="0.35"/>
    <row r="251" customFormat="1" ht="14.5" x14ac:dyDescent="0.35"/>
    <row r="252" customFormat="1" ht="14.5" x14ac:dyDescent="0.35"/>
    <row r="253" customFormat="1" ht="14.5" x14ac:dyDescent="0.35"/>
    <row r="254" customFormat="1" ht="14.5" x14ac:dyDescent="0.35"/>
    <row r="255" customFormat="1" ht="14.5" x14ac:dyDescent="0.35"/>
    <row r="256" customFormat="1" ht="14.5" x14ac:dyDescent="0.35"/>
    <row r="257" customFormat="1" ht="14.5" x14ac:dyDescent="0.35"/>
    <row r="258" customFormat="1" ht="14.5" x14ac:dyDescent="0.35"/>
    <row r="259" customFormat="1" ht="14.5" x14ac:dyDescent="0.35"/>
    <row r="260" customFormat="1" ht="14.5" x14ac:dyDescent="0.35"/>
    <row r="261" customFormat="1" ht="14.5" x14ac:dyDescent="0.35"/>
    <row r="262" customFormat="1" ht="14.5" x14ac:dyDescent="0.35"/>
    <row r="263" customFormat="1" ht="14.5" x14ac:dyDescent="0.35"/>
    <row r="264" customFormat="1" ht="14.5" x14ac:dyDescent="0.35"/>
    <row r="265" customFormat="1" ht="14.5" x14ac:dyDescent="0.35"/>
    <row r="266" customFormat="1" ht="14.5" x14ac:dyDescent="0.35"/>
    <row r="267" customFormat="1" ht="14.5" x14ac:dyDescent="0.35"/>
    <row r="268" customFormat="1" ht="14.5" x14ac:dyDescent="0.35"/>
    <row r="269" customFormat="1" ht="14.5" x14ac:dyDescent="0.35"/>
    <row r="270" customFormat="1" ht="14.5" x14ac:dyDescent="0.35"/>
    <row r="271" customFormat="1" ht="14.5" x14ac:dyDescent="0.35"/>
    <row r="272" customFormat="1" ht="14.5" x14ac:dyDescent="0.35"/>
    <row r="273" customFormat="1" ht="14.5" x14ac:dyDescent="0.35"/>
    <row r="274" customFormat="1" ht="14.5" x14ac:dyDescent="0.35"/>
    <row r="275" customFormat="1" ht="14.5" x14ac:dyDescent="0.35"/>
    <row r="276" customFormat="1" ht="14.5" x14ac:dyDescent="0.35"/>
    <row r="277" customFormat="1" ht="14.5" x14ac:dyDescent="0.35"/>
    <row r="278" customFormat="1" ht="14.5" x14ac:dyDescent="0.35"/>
    <row r="279" customFormat="1" ht="14.5" x14ac:dyDescent="0.35"/>
    <row r="280" customFormat="1" ht="14.5" x14ac:dyDescent="0.35"/>
    <row r="281" customFormat="1" ht="14.5" x14ac:dyDescent="0.35"/>
    <row r="282" customFormat="1" ht="14.5" x14ac:dyDescent="0.35"/>
    <row r="283" customFormat="1" ht="14.5" x14ac:dyDescent="0.35"/>
    <row r="284" customFormat="1" ht="14.5" x14ac:dyDescent="0.35"/>
    <row r="285" customFormat="1" ht="14.5" x14ac:dyDescent="0.35"/>
    <row r="286" customFormat="1" ht="14.5" x14ac:dyDescent="0.35"/>
    <row r="287" customFormat="1" ht="14.5" x14ac:dyDescent="0.35"/>
    <row r="288" customFormat="1" ht="14.5" x14ac:dyDescent="0.35"/>
    <row r="289" customFormat="1" ht="14.5" x14ac:dyDescent="0.35"/>
    <row r="290" customFormat="1" ht="14.5" x14ac:dyDescent="0.35"/>
    <row r="291" customFormat="1" ht="14.5" x14ac:dyDescent="0.35"/>
    <row r="292" customFormat="1" ht="14.5" x14ac:dyDescent="0.35"/>
    <row r="293" customFormat="1" ht="14.5" x14ac:dyDescent="0.35"/>
    <row r="294" customFormat="1" ht="14.5" x14ac:dyDescent="0.35"/>
    <row r="295" customFormat="1" ht="14.5" x14ac:dyDescent="0.35"/>
    <row r="296" customFormat="1" ht="14.5" x14ac:dyDescent="0.35"/>
    <row r="297" customFormat="1" ht="14.5" x14ac:dyDescent="0.35"/>
    <row r="298" customFormat="1" ht="14.5" x14ac:dyDescent="0.35"/>
    <row r="299" customFormat="1" ht="14.5" x14ac:dyDescent="0.35"/>
    <row r="300" customFormat="1" ht="14.5" x14ac:dyDescent="0.35"/>
    <row r="301" customFormat="1" ht="14.5" x14ac:dyDescent="0.35"/>
    <row r="302" customFormat="1" ht="14.5" x14ac:dyDescent="0.35"/>
    <row r="303" customFormat="1" ht="14.5" x14ac:dyDescent="0.35"/>
    <row r="304" customFormat="1" ht="14.5" x14ac:dyDescent="0.35"/>
    <row r="305" customFormat="1" ht="14.5" x14ac:dyDescent="0.35"/>
    <row r="306" customFormat="1" ht="14.5" x14ac:dyDescent="0.35"/>
    <row r="307" customFormat="1" ht="14.5" x14ac:dyDescent="0.35"/>
    <row r="308" customFormat="1" ht="14.5" x14ac:dyDescent="0.35"/>
    <row r="309" customFormat="1" ht="14.5" x14ac:dyDescent="0.35"/>
    <row r="310" customFormat="1" ht="14.5" x14ac:dyDescent="0.35"/>
    <row r="311" customFormat="1" ht="14.5" x14ac:dyDescent="0.35"/>
    <row r="312" customFormat="1" ht="14.5" x14ac:dyDescent="0.35"/>
    <row r="313" customFormat="1" ht="14.5" x14ac:dyDescent="0.35"/>
    <row r="314" customFormat="1" ht="14.5" x14ac:dyDescent="0.35"/>
    <row r="315" customFormat="1" ht="14.5" x14ac:dyDescent="0.35"/>
    <row r="316" customFormat="1" ht="14.5" x14ac:dyDescent="0.35"/>
    <row r="317" customFormat="1" ht="14.5" x14ac:dyDescent="0.35"/>
    <row r="318" customFormat="1" ht="14.5" x14ac:dyDescent="0.35"/>
    <row r="319" customFormat="1" ht="14.5" x14ac:dyDescent="0.35"/>
    <row r="320" customFormat="1" ht="14.5" x14ac:dyDescent="0.35"/>
    <row r="321" customFormat="1" ht="14.5" x14ac:dyDescent="0.35"/>
    <row r="322" customFormat="1" ht="14.5" x14ac:dyDescent="0.35"/>
    <row r="323" customFormat="1" ht="14.5" x14ac:dyDescent="0.35"/>
    <row r="324" customFormat="1" ht="14.5" x14ac:dyDescent="0.35"/>
    <row r="325" customFormat="1" ht="14.5" x14ac:dyDescent="0.35"/>
    <row r="326" customFormat="1" ht="14.5" x14ac:dyDescent="0.35"/>
    <row r="327" customFormat="1" ht="14.5" x14ac:dyDescent="0.35"/>
    <row r="328" customFormat="1" ht="14.5" x14ac:dyDescent="0.35"/>
    <row r="329" customFormat="1" ht="14.5" x14ac:dyDescent="0.35"/>
    <row r="330" customFormat="1" ht="14.5" x14ac:dyDescent="0.35"/>
    <row r="331" customFormat="1" ht="14.5" x14ac:dyDescent="0.35"/>
    <row r="332" customFormat="1" ht="14.5" x14ac:dyDescent="0.35"/>
    <row r="333" customFormat="1" ht="14.5" x14ac:dyDescent="0.35"/>
    <row r="334" customFormat="1" ht="14.5" x14ac:dyDescent="0.35"/>
    <row r="335" customFormat="1" ht="14.5" x14ac:dyDescent="0.35"/>
    <row r="336" customFormat="1" ht="14.5" x14ac:dyDescent="0.35"/>
    <row r="337" customFormat="1" ht="14.5" x14ac:dyDescent="0.35"/>
    <row r="338" customFormat="1" ht="14.5" x14ac:dyDescent="0.35"/>
    <row r="339" customFormat="1" ht="14.5" x14ac:dyDescent="0.35"/>
    <row r="340" customFormat="1" ht="14.5" x14ac:dyDescent="0.35"/>
    <row r="341" customFormat="1" ht="14.5" x14ac:dyDescent="0.35"/>
    <row r="342" customFormat="1" ht="14.5" x14ac:dyDescent="0.35"/>
    <row r="343" customFormat="1" ht="14.5" x14ac:dyDescent="0.35"/>
    <row r="344" customFormat="1" ht="14.5" x14ac:dyDescent="0.35"/>
    <row r="345" customFormat="1" ht="14.5" x14ac:dyDescent="0.35"/>
    <row r="346" customFormat="1" ht="14.5" x14ac:dyDescent="0.35"/>
    <row r="347" customFormat="1" ht="14.5" x14ac:dyDescent="0.35"/>
    <row r="348" customFormat="1" ht="14.5" x14ac:dyDescent="0.35"/>
    <row r="349" customFormat="1" ht="14.5" x14ac:dyDescent="0.35"/>
    <row r="350" customFormat="1" ht="14.5" x14ac:dyDescent="0.35"/>
    <row r="351" customFormat="1" ht="14.5" x14ac:dyDescent="0.35"/>
    <row r="352" customFormat="1" ht="14.5" x14ac:dyDescent="0.35"/>
    <row r="353" customFormat="1" ht="14.5" x14ac:dyDescent="0.35"/>
    <row r="354" customFormat="1" ht="14.5" x14ac:dyDescent="0.35"/>
    <row r="355" customFormat="1" ht="14.5" x14ac:dyDescent="0.35"/>
    <row r="356" customFormat="1" ht="14.5" x14ac:dyDescent="0.35"/>
    <row r="357" customFormat="1" ht="14.5" x14ac:dyDescent="0.35"/>
    <row r="358" customFormat="1" ht="14.5" x14ac:dyDescent="0.35"/>
    <row r="359" customFormat="1" ht="14.5" x14ac:dyDescent="0.35"/>
    <row r="360" customFormat="1" ht="14.5" x14ac:dyDescent="0.35"/>
    <row r="361" customFormat="1" ht="14.5" x14ac:dyDescent="0.35"/>
    <row r="362" customFormat="1" ht="14.5" x14ac:dyDescent="0.35"/>
    <row r="363" customFormat="1" ht="14.5" x14ac:dyDescent="0.35"/>
    <row r="364" customFormat="1" ht="14.5" x14ac:dyDescent="0.35"/>
    <row r="365" customFormat="1" ht="14.5" x14ac:dyDescent="0.35"/>
    <row r="366" customFormat="1" ht="14.5" x14ac:dyDescent="0.35"/>
    <row r="367" customFormat="1" ht="14.5" x14ac:dyDescent="0.35"/>
    <row r="368" customFormat="1" ht="14.5" x14ac:dyDescent="0.35"/>
    <row r="369" customFormat="1" ht="14.5" x14ac:dyDescent="0.35"/>
    <row r="370" customFormat="1" ht="14.5" x14ac:dyDescent="0.35"/>
    <row r="371" customFormat="1" ht="14.5" x14ac:dyDescent="0.35"/>
    <row r="372" customFormat="1" ht="14.5" x14ac:dyDescent="0.35"/>
    <row r="373" customFormat="1" ht="14.5" x14ac:dyDescent="0.35"/>
    <row r="374" customFormat="1" ht="14.5" x14ac:dyDescent="0.35"/>
    <row r="375" customFormat="1" ht="14.5" x14ac:dyDescent="0.35"/>
    <row r="376" customFormat="1" ht="14.5" x14ac:dyDescent="0.35"/>
    <row r="377" customFormat="1" ht="14.5" x14ac:dyDescent="0.35"/>
    <row r="378" customFormat="1" ht="14.5" x14ac:dyDescent="0.35"/>
    <row r="379" customFormat="1" ht="14.5" x14ac:dyDescent="0.35"/>
    <row r="380" customFormat="1" ht="14.5" x14ac:dyDescent="0.35"/>
    <row r="381" customFormat="1" ht="14.5" x14ac:dyDescent="0.35"/>
    <row r="382" customFormat="1" ht="14.5" x14ac:dyDescent="0.35"/>
    <row r="383" customFormat="1" ht="14.5" x14ac:dyDescent="0.35"/>
    <row r="384" customFormat="1" ht="14.5" x14ac:dyDescent="0.35"/>
    <row r="385" customFormat="1" ht="14.5" x14ac:dyDescent="0.35"/>
    <row r="386" customFormat="1" ht="14.5" x14ac:dyDescent="0.35"/>
    <row r="387" customFormat="1" ht="14.5" x14ac:dyDescent="0.35"/>
    <row r="388" customFormat="1" ht="14.5" x14ac:dyDescent="0.35"/>
    <row r="389" customFormat="1" ht="14.5" x14ac:dyDescent="0.35"/>
    <row r="390" customFormat="1" ht="14.5" x14ac:dyDescent="0.35"/>
    <row r="391" customFormat="1" ht="14.5" x14ac:dyDescent="0.35"/>
    <row r="392" customFormat="1" ht="14.5" x14ac:dyDescent="0.35"/>
    <row r="393" customFormat="1" ht="14.5" x14ac:dyDescent="0.35"/>
    <row r="394" customFormat="1" ht="14.5" x14ac:dyDescent="0.35"/>
    <row r="395" customFormat="1" ht="14.5" x14ac:dyDescent="0.35"/>
    <row r="396" customFormat="1" ht="14.5" x14ac:dyDescent="0.35"/>
    <row r="397" customFormat="1" ht="14.5" x14ac:dyDescent="0.35"/>
    <row r="398" customFormat="1" ht="14.5" x14ac:dyDescent="0.35"/>
    <row r="399" customFormat="1" ht="14.5" x14ac:dyDescent="0.35"/>
    <row r="400" customFormat="1" ht="14.5" x14ac:dyDescent="0.35"/>
    <row r="401" customFormat="1" ht="14.5" x14ac:dyDescent="0.35"/>
    <row r="402" customFormat="1" ht="14.5" x14ac:dyDescent="0.35"/>
    <row r="403" customFormat="1" ht="14.5" x14ac:dyDescent="0.35"/>
    <row r="404" customFormat="1" ht="14.5" x14ac:dyDescent="0.35"/>
    <row r="405" customFormat="1" ht="14.5" x14ac:dyDescent="0.35"/>
    <row r="406" customFormat="1" ht="14.5" x14ac:dyDescent="0.35"/>
    <row r="407" customFormat="1" ht="14.5" x14ac:dyDescent="0.35"/>
    <row r="408" customFormat="1" ht="14.5" x14ac:dyDescent="0.35"/>
    <row r="409" customFormat="1" ht="14.5" x14ac:dyDescent="0.35"/>
    <row r="410" customFormat="1" ht="14.5" x14ac:dyDescent="0.35"/>
    <row r="411" customFormat="1" ht="14.5" x14ac:dyDescent="0.35"/>
    <row r="412" customFormat="1" ht="14.5" x14ac:dyDescent="0.35"/>
    <row r="413" customFormat="1" ht="14.5" x14ac:dyDescent="0.35"/>
    <row r="414" customFormat="1" ht="14.5" x14ac:dyDescent="0.35"/>
    <row r="415" customFormat="1" ht="14.5" x14ac:dyDescent="0.35"/>
    <row r="416" customFormat="1" ht="14.5" x14ac:dyDescent="0.35"/>
    <row r="417" customFormat="1" ht="14.5" x14ac:dyDescent="0.35"/>
    <row r="418" customFormat="1" ht="14.5" x14ac:dyDescent="0.35"/>
    <row r="419" customFormat="1" ht="14.5" x14ac:dyDescent="0.35"/>
    <row r="420" customFormat="1" ht="14.5" x14ac:dyDescent="0.35"/>
    <row r="421" customFormat="1" ht="14.5" x14ac:dyDescent="0.35"/>
    <row r="422" customFormat="1" ht="14.5" x14ac:dyDescent="0.35"/>
    <row r="423" customFormat="1" ht="14.5" x14ac:dyDescent="0.35"/>
    <row r="424" customFormat="1" ht="14.5" x14ac:dyDescent="0.35"/>
    <row r="425" customFormat="1" ht="14.5" x14ac:dyDescent="0.35"/>
    <row r="426" customFormat="1" ht="14.5" x14ac:dyDescent="0.35"/>
    <row r="427" customFormat="1" ht="14.5" x14ac:dyDescent="0.35"/>
    <row r="428" customFormat="1" ht="14.5" x14ac:dyDescent="0.35"/>
    <row r="429" customFormat="1" ht="14.5" x14ac:dyDescent="0.35"/>
    <row r="430" customFormat="1" ht="14.5" x14ac:dyDescent="0.35"/>
    <row r="431" customFormat="1" ht="14.5" x14ac:dyDescent="0.35"/>
    <row r="432" customFormat="1" ht="14.5" x14ac:dyDescent="0.35"/>
    <row r="433" customFormat="1" ht="14.5" x14ac:dyDescent="0.35"/>
    <row r="434" customFormat="1" ht="14.5" x14ac:dyDescent="0.35"/>
    <row r="435" customFormat="1" ht="14.5" x14ac:dyDescent="0.35"/>
    <row r="436" customFormat="1" ht="14.5" x14ac:dyDescent="0.35"/>
    <row r="437" customFormat="1" ht="14.5" x14ac:dyDescent="0.35"/>
    <row r="438" customFormat="1" ht="14.5" x14ac:dyDescent="0.35"/>
    <row r="439" customFormat="1" ht="14.5" x14ac:dyDescent="0.35"/>
    <row r="440" customFormat="1" ht="14.5" x14ac:dyDescent="0.35"/>
    <row r="441" customFormat="1" ht="14.5" x14ac:dyDescent="0.35"/>
    <row r="442" customFormat="1" ht="14.5" x14ac:dyDescent="0.35"/>
    <row r="443" customFormat="1" ht="14.5" x14ac:dyDescent="0.35"/>
    <row r="444" customFormat="1" ht="14.5" x14ac:dyDescent="0.35"/>
    <row r="445" customFormat="1" ht="14.5" x14ac:dyDescent="0.35"/>
    <row r="446" customFormat="1" ht="14.5" x14ac:dyDescent="0.35"/>
    <row r="447" customFormat="1" ht="14.5" x14ac:dyDescent="0.35"/>
    <row r="448" customFormat="1" ht="14.5" x14ac:dyDescent="0.35"/>
    <row r="449" customFormat="1" ht="14.5" x14ac:dyDescent="0.35"/>
    <row r="450" customFormat="1" ht="14.5" x14ac:dyDescent="0.35"/>
    <row r="451" customFormat="1" ht="14.5" x14ac:dyDescent="0.35"/>
    <row r="452" customFormat="1" ht="14.5" x14ac:dyDescent="0.35"/>
    <row r="453" customFormat="1" ht="14.5" x14ac:dyDescent="0.35"/>
    <row r="454" customFormat="1" ht="14.5" x14ac:dyDescent="0.35"/>
    <row r="455" customFormat="1" ht="14.5" x14ac:dyDescent="0.35"/>
    <row r="456" customFormat="1" ht="14.5" x14ac:dyDescent="0.35"/>
    <row r="457" customFormat="1" ht="14.5" x14ac:dyDescent="0.35"/>
    <row r="458" customFormat="1" ht="14.5" x14ac:dyDescent="0.35"/>
    <row r="459" customFormat="1" ht="14.5" x14ac:dyDescent="0.35"/>
    <row r="460" customFormat="1" ht="14.5" x14ac:dyDescent="0.35"/>
    <row r="461" customFormat="1" ht="14.5" x14ac:dyDescent="0.35"/>
    <row r="462" customFormat="1" ht="14.5" x14ac:dyDescent="0.35"/>
    <row r="463" customFormat="1" ht="14.5" x14ac:dyDescent="0.35"/>
    <row r="464" customFormat="1" ht="14.5" x14ac:dyDescent="0.35"/>
    <row r="465" customFormat="1" ht="14.5" x14ac:dyDescent="0.35"/>
    <row r="466" customFormat="1" ht="14.5" x14ac:dyDescent="0.35"/>
    <row r="467" customFormat="1" ht="14.5" x14ac:dyDescent="0.35"/>
    <row r="468" customFormat="1" ht="14.5" x14ac:dyDescent="0.35"/>
    <row r="469" customFormat="1" ht="14.5" x14ac:dyDescent="0.35"/>
    <row r="470" customFormat="1" ht="14.5" x14ac:dyDescent="0.35"/>
    <row r="471" customFormat="1" ht="14.5" x14ac:dyDescent="0.35"/>
    <row r="472" customFormat="1" ht="14.5" x14ac:dyDescent="0.35"/>
    <row r="473" customFormat="1" ht="14.5" x14ac:dyDescent="0.35"/>
    <row r="474" customFormat="1" ht="14.5" x14ac:dyDescent="0.35"/>
    <row r="475" customFormat="1" ht="14.5" x14ac:dyDescent="0.35"/>
    <row r="476" customFormat="1" ht="14.5" x14ac:dyDescent="0.35"/>
    <row r="477" customFormat="1" ht="14.5" x14ac:dyDescent="0.35"/>
    <row r="478" customFormat="1" ht="14.5" x14ac:dyDescent="0.35"/>
    <row r="479" customFormat="1" ht="14.5" x14ac:dyDescent="0.35"/>
    <row r="480" customFormat="1" ht="14.5" x14ac:dyDescent="0.35"/>
    <row r="481" customFormat="1" ht="14.5" x14ac:dyDescent="0.35"/>
    <row r="482" customFormat="1" ht="14.5" x14ac:dyDescent="0.35"/>
    <row r="483" customFormat="1" ht="14.5" x14ac:dyDescent="0.35"/>
    <row r="484" customFormat="1" ht="14.5" x14ac:dyDescent="0.35"/>
    <row r="485" customFormat="1" ht="14.5" x14ac:dyDescent="0.35"/>
    <row r="486" customFormat="1" ht="14.5" x14ac:dyDescent="0.35"/>
    <row r="487" customFormat="1" ht="14.5" x14ac:dyDescent="0.35"/>
    <row r="488" customFormat="1" ht="14.5" x14ac:dyDescent="0.35"/>
    <row r="489" customFormat="1" ht="14.5" x14ac:dyDescent="0.35"/>
    <row r="490" customFormat="1" ht="14.5" x14ac:dyDescent="0.35"/>
    <row r="491" customFormat="1" ht="14.5" x14ac:dyDescent="0.35"/>
    <row r="492" customFormat="1" ht="14.5" x14ac:dyDescent="0.35"/>
    <row r="493" customFormat="1" ht="14.5" x14ac:dyDescent="0.35"/>
    <row r="494" customFormat="1" ht="14.5" x14ac:dyDescent="0.35"/>
    <row r="495" customFormat="1" ht="14.5" x14ac:dyDescent="0.35"/>
    <row r="496" customFormat="1" ht="14.5" x14ac:dyDescent="0.35"/>
    <row r="497" customFormat="1" ht="14.5" x14ac:dyDescent="0.35"/>
    <row r="498" customFormat="1" ht="14.5" x14ac:dyDescent="0.35"/>
    <row r="499" customFormat="1" ht="14.5" x14ac:dyDescent="0.35"/>
    <row r="500" customFormat="1" ht="14.5" x14ac:dyDescent="0.35"/>
    <row r="501" customFormat="1" ht="14.5" x14ac:dyDescent="0.35"/>
    <row r="502" customFormat="1" ht="14.5" x14ac:dyDescent="0.35"/>
    <row r="503" customFormat="1" ht="14.5" x14ac:dyDescent="0.35"/>
    <row r="504" customFormat="1" ht="14.5" x14ac:dyDescent="0.35"/>
    <row r="505" customFormat="1" ht="14.5" x14ac:dyDescent="0.35"/>
    <row r="506" customFormat="1" ht="14.5" x14ac:dyDescent="0.35"/>
    <row r="507" customFormat="1" ht="14.5" x14ac:dyDescent="0.35"/>
    <row r="508" customFormat="1" ht="14.5" x14ac:dyDescent="0.35"/>
    <row r="509" customFormat="1" ht="14.5" x14ac:dyDescent="0.35"/>
    <row r="510" customFormat="1" ht="14.5" x14ac:dyDescent="0.35"/>
    <row r="511" customFormat="1" ht="14.5" x14ac:dyDescent="0.35"/>
    <row r="512" customFormat="1" ht="14.5" x14ac:dyDescent="0.35"/>
    <row r="513" customFormat="1" ht="14.5" x14ac:dyDescent="0.35"/>
    <row r="514" customFormat="1" ht="14.5" x14ac:dyDescent="0.35"/>
    <row r="515" customFormat="1" ht="14.5" x14ac:dyDescent="0.35"/>
    <row r="516" customFormat="1" ht="14.5" x14ac:dyDescent="0.35"/>
    <row r="517" customFormat="1" ht="14.5" x14ac:dyDescent="0.35"/>
    <row r="518" customFormat="1" ht="14.5" x14ac:dyDescent="0.35"/>
    <row r="519" customFormat="1" ht="14.5" x14ac:dyDescent="0.35"/>
    <row r="520" customFormat="1" ht="14.5" x14ac:dyDescent="0.35"/>
    <row r="521" customFormat="1" ht="14.5" x14ac:dyDescent="0.35"/>
    <row r="522" customFormat="1" ht="14.5" x14ac:dyDescent="0.35"/>
    <row r="523" customFormat="1" ht="14.5" x14ac:dyDescent="0.35"/>
    <row r="524" customFormat="1" ht="14.5" x14ac:dyDescent="0.35"/>
    <row r="525" customFormat="1" ht="14.5" x14ac:dyDescent="0.35"/>
    <row r="526" customFormat="1" ht="14.5" x14ac:dyDescent="0.35"/>
    <row r="527" customFormat="1" ht="14.5" x14ac:dyDescent="0.35"/>
    <row r="528" customFormat="1" ht="14.5" x14ac:dyDescent="0.35"/>
    <row r="529" customFormat="1" ht="14.5" x14ac:dyDescent="0.35"/>
    <row r="530" customFormat="1" ht="14.5" x14ac:dyDescent="0.35"/>
    <row r="531" customFormat="1" ht="14.5" x14ac:dyDescent="0.35"/>
    <row r="532" customFormat="1" ht="14.5" x14ac:dyDescent="0.35"/>
    <row r="533" customFormat="1" ht="14.5" x14ac:dyDescent="0.35"/>
    <row r="534" customFormat="1" ht="14.5" x14ac:dyDescent="0.35"/>
    <row r="535" customFormat="1" ht="14.5" x14ac:dyDescent="0.35"/>
    <row r="536" customFormat="1" ht="15" thickBot="1" x14ac:dyDescent="0.4"/>
  </sheetData>
  <mergeCells count="7">
    <mergeCell ref="B1:D1"/>
    <mergeCell ref="E1:F1"/>
    <mergeCell ref="G1:I1"/>
    <mergeCell ref="AX1:BQ4"/>
    <mergeCell ref="J1:AO1"/>
    <mergeCell ref="AP1:AS1"/>
    <mergeCell ref="J2:AO2"/>
  </mergeCells>
  <phoneticPr fontId="8" type="noConversion"/>
  <conditionalFormatting sqref="B1:AS4">
    <cfRule type="expression" dxfId="12" priority="18">
      <formula>TRUE</formula>
    </cfRule>
  </conditionalFormatting>
  <conditionalFormatting sqref="F104:AJ105">
    <cfRule type="expression" dxfId="11" priority="7">
      <formula>TRUE</formula>
    </cfRule>
  </conditionalFormatting>
  <conditionalFormatting sqref="AT2">
    <cfRule type="expression" dxfId="10" priority="5">
      <formula>TRUE</formula>
    </cfRule>
  </conditionalFormatting>
  <conditionalFormatting sqref="AT27">
    <cfRule type="expression" dxfId="9" priority="4">
      <formula>TRUE</formula>
    </cfRule>
  </conditionalFormatting>
  <conditionalFormatting sqref="AT45">
    <cfRule type="expression" dxfId="8" priority="3">
      <formula>TRUE</formula>
    </cfRule>
  </conditionalFormatting>
  <conditionalFormatting sqref="AT63">
    <cfRule type="expression" dxfId="7" priority="2">
      <formula>TRUE</formula>
    </cfRule>
  </conditionalFormatting>
  <conditionalFormatting sqref="AT81">
    <cfRule type="expression" dxfId="6" priority="1">
      <formula>TRUE</formula>
    </cfRule>
  </conditionalFormatting>
  <conditionalFormatting sqref="AT1:AX1 A1:A2">
    <cfRule type="expression" dxfId="5" priority="26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0E86-6511-4A36-A1C0-35C2EEAD3DD1}">
  <dimension ref="A1:D15"/>
  <sheetViews>
    <sheetView workbookViewId="0">
      <selection activeCell="E23" sqref="E23"/>
    </sheetView>
  </sheetViews>
  <sheetFormatPr defaultRowHeight="14.5" x14ac:dyDescent="0.35"/>
  <cols>
    <col min="1" max="1" width="18" bestFit="1" customWidth="1"/>
    <col min="2" max="2" width="9.81640625" bestFit="1" customWidth="1"/>
  </cols>
  <sheetData>
    <row r="1" spans="1:4" ht="16.5" x14ac:dyDescent="0.45">
      <c r="A1" s="7" t="s">
        <v>99</v>
      </c>
      <c r="B1" t="s">
        <v>69</v>
      </c>
      <c r="C1" t="s">
        <v>70</v>
      </c>
      <c r="D1" t="s">
        <v>71</v>
      </c>
    </row>
    <row r="2" spans="1:4" ht="16.5" x14ac:dyDescent="0.45">
      <c r="A2" s="7">
        <v>-4.2</v>
      </c>
      <c r="B2">
        <v>-0.52901301708740434</v>
      </c>
      <c r="C2">
        <v>3.245478632438064E-2</v>
      </c>
      <c r="D2">
        <v>1.622739316219032E-2</v>
      </c>
    </row>
    <row r="3" spans="1:4" ht="16.5" x14ac:dyDescent="0.45">
      <c r="A3" s="7">
        <v>-1.9</v>
      </c>
      <c r="B3">
        <v>-0.19068211784441155</v>
      </c>
      <c r="C3">
        <v>2.6762402504478817E-2</v>
      </c>
      <c r="D3">
        <v>1.338120125223941E-2</v>
      </c>
    </row>
    <row r="4" spans="1:4" ht="16.5" x14ac:dyDescent="0.45">
      <c r="A4" s="7">
        <v>0.4</v>
      </c>
      <c r="B4">
        <v>9.2194305988044109E-2</v>
      </c>
      <c r="C4">
        <v>1.8109595819080091E-2</v>
      </c>
      <c r="D4">
        <v>1.0975512617624299E-2</v>
      </c>
    </row>
    <row r="5" spans="1:4" ht="16.5" x14ac:dyDescent="0.45">
      <c r="A5" s="7">
        <v>2.1</v>
      </c>
      <c r="B5">
        <v>0.30699089324002266</v>
      </c>
      <c r="C5">
        <v>2.4891153505947779E-2</v>
      </c>
      <c r="D5">
        <v>1.7700375826451755E-2</v>
      </c>
    </row>
    <row r="6" spans="1:4" ht="16.5" x14ac:dyDescent="0.45">
      <c r="A6" s="7">
        <v>4.0999999999999996</v>
      </c>
      <c r="B6">
        <v>0.52467799117440328</v>
      </c>
      <c r="C6">
        <v>3.2566220141859517E-2</v>
      </c>
      <c r="D6">
        <v>2.1710813427906341E-2</v>
      </c>
    </row>
    <row r="7" spans="1:4" ht="16.5" x14ac:dyDescent="0.45">
      <c r="A7" s="7">
        <v>6.1</v>
      </c>
      <c r="B7">
        <v>0.76774642184723607</v>
      </c>
      <c r="C7">
        <v>3.8470953600188304E-2</v>
      </c>
      <c r="D7">
        <v>3.345300313059852E-2</v>
      </c>
    </row>
    <row r="8" spans="1:4" ht="16.5" x14ac:dyDescent="0.45">
      <c r="A8" s="7">
        <v>8.1</v>
      </c>
      <c r="B8">
        <v>0.97805408230843927</v>
      </c>
      <c r="C8">
        <v>5.7243968028085901E-2</v>
      </c>
      <c r="D8">
        <v>5.4518064788653252E-2</v>
      </c>
    </row>
    <row r="9" spans="1:4" ht="16.5" x14ac:dyDescent="0.45">
      <c r="A9" s="7">
        <v>10.1</v>
      </c>
      <c r="B9">
        <v>0.78296925288331354</v>
      </c>
      <c r="C9">
        <v>0.14480721666229024</v>
      </c>
      <c r="D9">
        <v>-4.490146253094271E-2</v>
      </c>
    </row>
    <row r="10" spans="1:4" ht="16.5" x14ac:dyDescent="0.45">
      <c r="A10" s="7">
        <v>10.9</v>
      </c>
      <c r="B10">
        <v>0.75436522059499667</v>
      </c>
      <c r="C10">
        <v>0.19737271847053126</v>
      </c>
      <c r="D10">
        <v>-8.920800834826273E-2</v>
      </c>
    </row>
    <row r="11" spans="1:4" ht="16.5" x14ac:dyDescent="0.45">
      <c r="A11" s="7">
        <v>11.9</v>
      </c>
      <c r="B11">
        <v>0.72425751777745795</v>
      </c>
      <c r="C11">
        <v>0.21744452034889039</v>
      </c>
      <c r="D11">
        <v>-0.11151001043532842</v>
      </c>
    </row>
    <row r="12" spans="1:4" ht="16.5" x14ac:dyDescent="0.45">
      <c r="A12" s="7">
        <v>13.1</v>
      </c>
      <c r="B12">
        <v>0.69877901063779602</v>
      </c>
      <c r="C12">
        <v>0.25593833642637343</v>
      </c>
      <c r="D12">
        <v>-0.11225365632735677</v>
      </c>
    </row>
    <row r="13" spans="1:4" ht="16.5" x14ac:dyDescent="0.45">
      <c r="A13" s="7">
        <v>13.9</v>
      </c>
      <c r="B13">
        <v>0.68367701629669908</v>
      </c>
      <c r="C13">
        <v>0.27048386809796587</v>
      </c>
      <c r="D13">
        <v>-0.11062734891532348</v>
      </c>
    </row>
    <row r="14" spans="1:4" ht="16.5" x14ac:dyDescent="0.45">
      <c r="A14" s="7">
        <v>15.1</v>
      </c>
      <c r="B14">
        <v>0.67537996512804988</v>
      </c>
      <c r="C14">
        <v>0.29039679090272408</v>
      </c>
      <c r="D14">
        <v>-0.11062734891532348</v>
      </c>
    </row>
    <row r="15" spans="1:4" ht="16.5" x14ac:dyDescent="0.45">
      <c r="A15" s="7">
        <v>16</v>
      </c>
      <c r="B15">
        <v>0.65347527861945398</v>
      </c>
      <c r="C15">
        <v>0.33098098527478836</v>
      </c>
      <c r="D15">
        <v>-0.11315589240163705</v>
      </c>
    </row>
  </sheetData>
  <conditionalFormatting sqref="A1">
    <cfRule type="expression" dxfId="4" priority="1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5B6C-93F7-4E0D-872E-6792FC837A22}">
  <dimension ref="A1:D15"/>
  <sheetViews>
    <sheetView workbookViewId="0">
      <selection activeCell="F22" sqref="F22"/>
    </sheetView>
  </sheetViews>
  <sheetFormatPr defaultRowHeight="14.5" x14ac:dyDescent="0.35"/>
  <cols>
    <col min="1" max="1" width="18" bestFit="1" customWidth="1"/>
  </cols>
  <sheetData>
    <row r="1" spans="1:4" ht="16.5" x14ac:dyDescent="0.45">
      <c r="A1" s="7" t="s">
        <v>99</v>
      </c>
      <c r="B1" t="s">
        <v>69</v>
      </c>
      <c r="C1" t="s">
        <v>70</v>
      </c>
      <c r="D1" t="s">
        <v>71</v>
      </c>
    </row>
    <row r="2" spans="1:4" ht="16.5" x14ac:dyDescent="0.45">
      <c r="A2" s="7">
        <v>-4.2</v>
      </c>
      <c r="B2">
        <v>-0.60106976399310408</v>
      </c>
      <c r="C2">
        <v>2.7321352908777456E-2</v>
      </c>
      <c r="D2">
        <v>1.5701926959067504E-2</v>
      </c>
    </row>
    <row r="3" spans="1:4" ht="16.5" x14ac:dyDescent="0.45">
      <c r="A3" s="7">
        <v>-1.9</v>
      </c>
      <c r="B3">
        <v>-0.22973821683367993</v>
      </c>
      <c r="C3">
        <v>1.8527275551103221E-2</v>
      </c>
      <c r="D3">
        <v>1.2351517034068813E-2</v>
      </c>
    </row>
    <row r="4" spans="1:4" ht="16.5" x14ac:dyDescent="0.45">
      <c r="A4" s="7">
        <v>0.4</v>
      </c>
      <c r="B4">
        <v>9.5334641190020386E-2</v>
      </c>
      <c r="C4">
        <v>7.477226760001599E-3</v>
      </c>
      <c r="D4">
        <v>8.100328990001732E-3</v>
      </c>
    </row>
    <row r="5" spans="1:4" ht="16.5" x14ac:dyDescent="0.45">
      <c r="A5" s="7">
        <v>2.1</v>
      </c>
      <c r="B5">
        <v>0.32467718070470014</v>
      </c>
      <c r="C5">
        <v>1.6890720383481512E-2</v>
      </c>
      <c r="D5">
        <v>6.2558223642524115E-3</v>
      </c>
    </row>
    <row r="6" spans="1:4" ht="16.5" x14ac:dyDescent="0.45">
      <c r="A6" s="7">
        <v>4.0999999999999996</v>
      </c>
      <c r="B6">
        <v>0.56340064180850269</v>
      </c>
      <c r="C6">
        <v>2.3896275182742364E-2</v>
      </c>
      <c r="D6">
        <v>6.1272500468570164E-3</v>
      </c>
    </row>
    <row r="7" spans="1:4" ht="16.5" x14ac:dyDescent="0.45">
      <c r="A7" s="7">
        <v>6.1</v>
      </c>
      <c r="B7">
        <v>0.78448012447725235</v>
      </c>
      <c r="C7">
        <v>3.096632070304944E-2</v>
      </c>
      <c r="D7">
        <v>1.2511644728504823E-2</v>
      </c>
    </row>
    <row r="8" spans="1:4" ht="16.5" x14ac:dyDescent="0.45">
      <c r="A8" s="7">
        <v>8.1</v>
      </c>
      <c r="B8">
        <v>0.97872340888728981</v>
      </c>
      <c r="C8">
        <v>4.3165174313341645E-2</v>
      </c>
      <c r="D8">
        <v>2.1895378274883442E-2</v>
      </c>
    </row>
    <row r="9" spans="1:4" ht="16.5" x14ac:dyDescent="0.45">
      <c r="A9" s="7">
        <v>10.1</v>
      </c>
      <c r="B9">
        <v>1.1314808566704042</v>
      </c>
      <c r="C9">
        <v>8.1021943108788325E-2</v>
      </c>
      <c r="D9">
        <v>3.1403853918135008E-2</v>
      </c>
    </row>
    <row r="10" spans="1:4" ht="16.5" x14ac:dyDescent="0.45">
      <c r="A10" s="7">
        <v>10.9</v>
      </c>
      <c r="B10">
        <v>0.87109691754018637</v>
      </c>
      <c r="C10">
        <v>0.18412670896503938</v>
      </c>
      <c r="D10">
        <v>-8.7234312200018677E-2</v>
      </c>
    </row>
    <row r="11" spans="1:4" ht="16.5" x14ac:dyDescent="0.45">
      <c r="A11" s="7">
        <v>11.9</v>
      </c>
      <c r="B11">
        <v>0.77040452415768457</v>
      </c>
      <c r="C11">
        <v>0.21770261827598392</v>
      </c>
      <c r="D11">
        <v>-0.10634898019229101</v>
      </c>
    </row>
    <row r="12" spans="1:4" ht="16.5" x14ac:dyDescent="0.45">
      <c r="A12" s="7">
        <v>13.1</v>
      </c>
      <c r="B12">
        <v>0.76727834577684773</v>
      </c>
      <c r="C12">
        <v>0.24924920808266085</v>
      </c>
      <c r="D12">
        <v>-0.11160412302208694</v>
      </c>
    </row>
    <row r="13" spans="1:4" ht="16.5" x14ac:dyDescent="0.45">
      <c r="A13" s="7">
        <v>13.9</v>
      </c>
      <c r="B13">
        <v>0.76921970293516451</v>
      </c>
      <c r="C13">
        <v>0.27291877674005838</v>
      </c>
      <c r="D13">
        <v>-0.11838942370002532</v>
      </c>
    </row>
    <row r="14" spans="1:4" ht="16.5" x14ac:dyDescent="0.45">
      <c r="A14" s="7">
        <v>15.1</v>
      </c>
      <c r="B14">
        <v>0.73193121661753213</v>
      </c>
      <c r="C14">
        <v>0.28808061987382355</v>
      </c>
      <c r="D14">
        <v>-0.11886062492079583</v>
      </c>
    </row>
    <row r="15" spans="1:4" ht="16.5" x14ac:dyDescent="0.45">
      <c r="A15" s="7">
        <v>16</v>
      </c>
      <c r="B15">
        <v>0.70941023367507738</v>
      </c>
      <c r="C15">
        <v>0.31403226344016755</v>
      </c>
      <c r="D15">
        <v>-0.11350563738801238</v>
      </c>
    </row>
  </sheetData>
  <conditionalFormatting sqref="A1">
    <cfRule type="expression" dxfId="3" priority="1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174C-F30D-4784-9465-A7E478CD7A8C}">
  <dimension ref="A1:D15"/>
  <sheetViews>
    <sheetView workbookViewId="0">
      <selection activeCell="G23" sqref="G23"/>
    </sheetView>
  </sheetViews>
  <sheetFormatPr defaultRowHeight="14.5" x14ac:dyDescent="0.35"/>
  <sheetData>
    <row r="1" spans="1:4" ht="16.5" x14ac:dyDescent="0.45">
      <c r="A1" s="7" t="s">
        <v>99</v>
      </c>
      <c r="B1" t="s">
        <v>69</v>
      </c>
      <c r="C1" t="s">
        <v>70</v>
      </c>
      <c r="D1" t="s">
        <v>71</v>
      </c>
    </row>
    <row r="2" spans="1:4" ht="16.5" x14ac:dyDescent="0.45">
      <c r="A2" s="7">
        <v>-4.2</v>
      </c>
      <c r="B2">
        <v>-0.66835293675305163</v>
      </c>
      <c r="C2">
        <v>3.4860135190357008E-2</v>
      </c>
      <c r="D2">
        <v>2.4041472545073803E-2</v>
      </c>
    </row>
    <row r="3" spans="1:4" ht="16.5" x14ac:dyDescent="0.45">
      <c r="A3" s="7">
        <v>-1.9</v>
      </c>
      <c r="B3">
        <v>-0.2879824958840837</v>
      </c>
      <c r="C3">
        <v>2.5303901311990614E-2</v>
      </c>
      <c r="D3">
        <v>1.2049476815233625E-2</v>
      </c>
    </row>
    <row r="4" spans="1:4" ht="16.5" x14ac:dyDescent="0.45">
      <c r="A4" s="7">
        <v>0.4</v>
      </c>
      <c r="B4">
        <v>0.1338921898826903</v>
      </c>
      <c r="C4">
        <v>1.8175410391315427E-2</v>
      </c>
      <c r="D4">
        <v>1.4136430304356445E-2</v>
      </c>
    </row>
    <row r="5" spans="1:4" ht="16.5" x14ac:dyDescent="0.45">
      <c r="A5" s="7">
        <v>2.1</v>
      </c>
      <c r="B5">
        <v>0.36208677829777047</v>
      </c>
      <c r="C5">
        <v>2.5303901311990614E-2</v>
      </c>
      <c r="D5">
        <v>8.0329845434890836E-3</v>
      </c>
    </row>
    <row r="6" spans="1:4" ht="16.5" x14ac:dyDescent="0.45">
      <c r="A6" s="7">
        <v>4.0999999999999996</v>
      </c>
      <c r="B6">
        <v>0.61225508049126032</v>
      </c>
      <c r="C6">
        <v>3.0824293292254962E-2</v>
      </c>
      <c r="D6">
        <v>8.0586387692169834E-3</v>
      </c>
    </row>
    <row r="7" spans="1:4" ht="16.5" x14ac:dyDescent="0.45">
      <c r="A7" s="7">
        <v>6.1</v>
      </c>
      <c r="B7">
        <v>0.80505801304477664</v>
      </c>
      <c r="C7">
        <v>3.7472670276858973E-2</v>
      </c>
      <c r="D7">
        <v>1.6117277538433967E-2</v>
      </c>
    </row>
    <row r="8" spans="1:4" ht="16.5" x14ac:dyDescent="0.45">
      <c r="A8" s="7">
        <v>8.1</v>
      </c>
      <c r="B8">
        <v>1.0014651125614802</v>
      </c>
      <c r="C8">
        <v>5.0285302082639344E-2</v>
      </c>
      <c r="D8">
        <v>2.6253370565233396E-2</v>
      </c>
    </row>
    <row r="9" spans="1:4" ht="16.5" x14ac:dyDescent="0.45">
      <c r="A9" s="7">
        <v>10.1</v>
      </c>
      <c r="B9">
        <v>1.2104823320616074</v>
      </c>
      <c r="C9">
        <v>8.6030275852226348E-2</v>
      </c>
      <c r="D9">
        <v>3.6350820782630855E-2</v>
      </c>
    </row>
    <row r="10" spans="1:4" ht="16.5" x14ac:dyDescent="0.45">
      <c r="A10" s="7">
        <v>10.9</v>
      </c>
      <c r="B10">
        <v>0.898739688736924</v>
      </c>
      <c r="C10">
        <v>0.22181403212269746</v>
      </c>
      <c r="D10">
        <v>-8.0586387692169845E-2</v>
      </c>
    </row>
    <row r="11" spans="1:4" ht="16.5" x14ac:dyDescent="0.45">
      <c r="A11" s="7">
        <v>11.9</v>
      </c>
      <c r="B11">
        <v>0.80505801304477664</v>
      </c>
      <c r="C11">
        <v>0.29555057686103287</v>
      </c>
      <c r="D11">
        <v>-0.1087916233844293</v>
      </c>
    </row>
    <row r="12" spans="1:4" ht="16.5" x14ac:dyDescent="0.45">
      <c r="A12" s="7">
        <v>13.1</v>
      </c>
      <c r="B12">
        <v>0.77188983855650517</v>
      </c>
      <c r="C12">
        <v>0.34522317188983853</v>
      </c>
      <c r="D12">
        <v>-0.11345362456473569</v>
      </c>
    </row>
    <row r="13" spans="1:4" ht="16.5" x14ac:dyDescent="0.45">
      <c r="A13" s="7">
        <v>13.9</v>
      </c>
      <c r="B13">
        <v>0.73742798109229801</v>
      </c>
      <c r="C13">
        <v>0.38317336272442937</v>
      </c>
      <c r="D13">
        <v>-0.11647827588059172</v>
      </c>
    </row>
    <row r="14" spans="1:4" ht="16.5" x14ac:dyDescent="0.45">
      <c r="A14" s="7">
        <v>15.1</v>
      </c>
      <c r="B14">
        <v>0.71995623971020917</v>
      </c>
      <c r="C14">
        <v>0.42233416237393862</v>
      </c>
      <c r="D14">
        <v>-0.11647827588059172</v>
      </c>
    </row>
    <row r="15" spans="1:4" ht="16.5" x14ac:dyDescent="0.45">
      <c r="A15" s="7">
        <v>16</v>
      </c>
      <c r="B15">
        <v>0.71318953107570304</v>
      </c>
      <c r="C15">
        <v>0.46417759310689821</v>
      </c>
      <c r="D15">
        <v>-0.12087958153825476</v>
      </c>
    </row>
  </sheetData>
  <conditionalFormatting sqref="A1">
    <cfRule type="expression" dxfId="2" priority="1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05E4-3FF7-42F8-982C-3A14C8659990}">
  <dimension ref="A1:D15"/>
  <sheetViews>
    <sheetView workbookViewId="0">
      <selection activeCell="G25" sqref="G25"/>
    </sheetView>
  </sheetViews>
  <sheetFormatPr defaultRowHeight="14.5" x14ac:dyDescent="0.35"/>
  <cols>
    <col min="8" max="8" width="9.81640625" bestFit="1" customWidth="1"/>
  </cols>
  <sheetData>
    <row r="1" spans="1:4" ht="16.5" x14ac:dyDescent="0.45">
      <c r="A1" s="7" t="s">
        <v>99</v>
      </c>
      <c r="B1" t="s">
        <v>69</v>
      </c>
      <c r="C1" t="s">
        <v>70</v>
      </c>
      <c r="D1" t="s">
        <v>71</v>
      </c>
    </row>
    <row r="2" spans="1:4" ht="16.5" x14ac:dyDescent="0.45">
      <c r="A2" s="7">
        <v>-4.2</v>
      </c>
      <c r="B2">
        <v>-0.69297837646017901</v>
      </c>
      <c r="C2">
        <v>2.8891545604684196E-2</v>
      </c>
      <c r="D2">
        <v>1.6748722089672E-2</v>
      </c>
    </row>
    <row r="3" spans="1:4" ht="16.5" x14ac:dyDescent="0.45">
      <c r="A3" s="7">
        <v>-1.9</v>
      </c>
      <c r="B3">
        <v>-0.29338393201226687</v>
      </c>
      <c r="C3">
        <v>2.2953223699394988E-2</v>
      </c>
      <c r="D3">
        <v>8.3466267997799951E-3</v>
      </c>
    </row>
    <row r="4" spans="1:4" ht="16.5" x14ac:dyDescent="0.45">
      <c r="A4" s="7">
        <v>0.4</v>
      </c>
      <c r="B4">
        <v>0.14700983248105645</v>
      </c>
      <c r="C4">
        <v>1.6849264467742861E-2</v>
      </c>
      <c r="D4">
        <v>1.123284297849524E-2</v>
      </c>
    </row>
    <row r="5" spans="1:4" ht="16.5" x14ac:dyDescent="0.45">
      <c r="A5" s="7">
        <v>2.1</v>
      </c>
      <c r="B5">
        <v>0.37660278165068378</v>
      </c>
      <c r="C5">
        <v>2.0368141612454198E-2</v>
      </c>
      <c r="D5">
        <v>1.2470290783135225E-2</v>
      </c>
    </row>
    <row r="6" spans="1:4" ht="16.5" x14ac:dyDescent="0.45">
      <c r="A6" s="7">
        <v>4.0999999999999996</v>
      </c>
      <c r="B6">
        <v>0.65126094755724384</v>
      </c>
      <c r="C6">
        <v>2.5746544265062784E-2</v>
      </c>
      <c r="D6">
        <v>8.4414899229714041E-3</v>
      </c>
    </row>
    <row r="7" spans="1:4" ht="16.5" x14ac:dyDescent="0.45">
      <c r="A7" s="7">
        <v>6.1</v>
      </c>
      <c r="B7">
        <v>0.85845056635737249</v>
      </c>
      <c r="C7">
        <v>3.0465187819196982E-2</v>
      </c>
      <c r="D7">
        <v>1.3911044666299993E-2</v>
      </c>
    </row>
    <row r="8" spans="1:4" ht="16.5" x14ac:dyDescent="0.45">
      <c r="A8" s="7">
        <v>8.1</v>
      </c>
      <c r="B8">
        <v>1.1050933882908713</v>
      </c>
      <c r="C8">
        <v>3.9229145958965976E-2</v>
      </c>
      <c r="D8">
        <v>2.5039880399339985E-2</v>
      </c>
    </row>
    <row r="9" spans="1:4" ht="16.5" x14ac:dyDescent="0.45">
      <c r="A9" s="7">
        <v>10.1</v>
      </c>
      <c r="B9">
        <v>1.2263545875258284</v>
      </c>
      <c r="C9">
        <v>6.1254796366326018E-2</v>
      </c>
      <c r="D9">
        <v>3.6361294646677547E-2</v>
      </c>
    </row>
    <row r="10" spans="1:4" ht="16.5" x14ac:dyDescent="0.45">
      <c r="A10" s="7">
        <v>10.9</v>
      </c>
      <c r="B10">
        <v>0.94080405191516303</v>
      </c>
      <c r="C10">
        <v>0.1658752769863881</v>
      </c>
      <c r="D10">
        <v>-6.7531919383771233E-2</v>
      </c>
    </row>
    <row r="11" spans="1:4" ht="16.5" x14ac:dyDescent="0.45">
      <c r="A11" s="7">
        <v>11.9</v>
      </c>
      <c r="B11">
        <v>0.80911680911680928</v>
      </c>
      <c r="C11">
        <v>0.21441384404347369</v>
      </c>
      <c r="D11">
        <v>-0.10411170904998067</v>
      </c>
    </row>
    <row r="12" spans="1:4" ht="16.5" x14ac:dyDescent="0.45">
      <c r="A12" s="7">
        <v>13.1</v>
      </c>
      <c r="B12">
        <v>0.74810734236778298</v>
      </c>
      <c r="C12">
        <v>0.24515679800565862</v>
      </c>
      <c r="D12">
        <v>-0.1123284297849524</v>
      </c>
    </row>
    <row r="13" spans="1:4" ht="16.5" x14ac:dyDescent="0.45">
      <c r="A13" s="7">
        <v>13.9</v>
      </c>
      <c r="B13">
        <v>0.72252350569627288</v>
      </c>
      <c r="C13">
        <v>0.26493921492853501</v>
      </c>
      <c r="D13">
        <v>-0.11979375648713991</v>
      </c>
    </row>
    <row r="14" spans="1:4" ht="16.5" x14ac:dyDescent="0.45">
      <c r="A14" s="7">
        <v>15.1</v>
      </c>
      <c r="B14">
        <v>0.71256316804696662</v>
      </c>
      <c r="C14">
        <v>0.2934330922104913</v>
      </c>
      <c r="D14">
        <v>-0.12051215821443291</v>
      </c>
    </row>
    <row r="15" spans="1:4" ht="16.5" x14ac:dyDescent="0.45">
      <c r="A15" s="7">
        <v>16</v>
      </c>
      <c r="B15">
        <v>0.70552590380201441</v>
      </c>
      <c r="C15">
        <v>0.32862431053443164</v>
      </c>
      <c r="D15">
        <v>-0.12139901505997046</v>
      </c>
    </row>
  </sheetData>
  <conditionalFormatting sqref="A1">
    <cfRule type="expression" dxfId="1" priority="1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95B7-9B29-4E4D-B463-3E23C44DD041}">
  <dimension ref="A1:D15"/>
  <sheetViews>
    <sheetView workbookViewId="0">
      <selection activeCell="H20" sqref="H20"/>
    </sheetView>
  </sheetViews>
  <sheetFormatPr defaultRowHeight="14.5" x14ac:dyDescent="0.35"/>
  <sheetData>
    <row r="1" spans="1:4" ht="16.5" x14ac:dyDescent="0.45">
      <c r="A1" s="7" t="s">
        <v>99</v>
      </c>
      <c r="B1" t="s">
        <v>69</v>
      </c>
      <c r="C1" t="s">
        <v>70</v>
      </c>
      <c r="D1" t="s">
        <v>71</v>
      </c>
    </row>
    <row r="2" spans="1:4" ht="16.5" x14ac:dyDescent="0.45">
      <c r="A2" s="7">
        <v>-4.2</v>
      </c>
      <c r="B2">
        <v>-0.68954154653342636</v>
      </c>
      <c r="C2">
        <v>2.9065876849391065E-2</v>
      </c>
      <c r="D2">
        <v>1.6491277645044579E-2</v>
      </c>
    </row>
    <row r="3" spans="1:4" ht="16.5" x14ac:dyDescent="0.45">
      <c r="A3" s="7">
        <v>-1.9</v>
      </c>
      <c r="B3">
        <v>-0.25211649459984203</v>
      </c>
      <c r="C3">
        <v>1.968195682749696E-2</v>
      </c>
      <c r="D3">
        <v>1.0413733771162415E-2</v>
      </c>
    </row>
    <row r="4" spans="1:4" ht="16.5" x14ac:dyDescent="0.45">
      <c r="A4" s="7">
        <v>0.4</v>
      </c>
      <c r="B4">
        <v>0.13822938204355106</v>
      </c>
      <c r="C4">
        <v>1.8637669489018119E-3</v>
      </c>
      <c r="D4">
        <v>1.4495965158125205E-2</v>
      </c>
    </row>
    <row r="5" spans="1:4" ht="16.5" x14ac:dyDescent="0.45">
      <c r="A5" s="7">
        <v>2.1</v>
      </c>
      <c r="B5">
        <v>0.3659977695368562</v>
      </c>
      <c r="C5">
        <v>2.1620121407240453E-3</v>
      </c>
      <c r="D5">
        <v>1.6472473453135583E-2</v>
      </c>
    </row>
    <row r="6" spans="1:4" ht="16.5" x14ac:dyDescent="0.45">
      <c r="A6" s="7">
        <v>4.0999999999999996</v>
      </c>
      <c r="B6">
        <v>0.65761450426426216</v>
      </c>
      <c r="C6">
        <v>2.6479030252232255E-3</v>
      </c>
      <c r="D6">
        <v>1.4537506805147123E-2</v>
      </c>
    </row>
    <row r="7" spans="1:4" ht="16.5" x14ac:dyDescent="0.45">
      <c r="A7" s="7">
        <v>6.1</v>
      </c>
      <c r="B7">
        <v>0.89345016727087212</v>
      </c>
      <c r="C7">
        <v>4.0037408392007362E-3</v>
      </c>
      <c r="D7">
        <v>1.4372403012515465E-2</v>
      </c>
    </row>
    <row r="8" spans="1:4" ht="16.5" x14ac:dyDescent="0.45">
      <c r="A8" s="7">
        <v>8.1</v>
      </c>
      <c r="B8">
        <v>1.1120026358121597</v>
      </c>
      <c r="C8">
        <v>1.6124968505920888E-2</v>
      </c>
      <c r="D8">
        <v>2.4807643855262906E-2</v>
      </c>
    </row>
    <row r="9" spans="1:4" ht="16.5" x14ac:dyDescent="0.45">
      <c r="A9" s="7">
        <v>10.1</v>
      </c>
      <c r="B9">
        <v>1.2392755687142523</v>
      </c>
      <c r="C9">
        <v>4.3673545410824681E-2</v>
      </c>
      <c r="D9">
        <v>4.1298860908581266E-2</v>
      </c>
    </row>
    <row r="10" spans="1:4" ht="16.5" x14ac:dyDescent="0.45">
      <c r="A10" s="7">
        <v>10.9</v>
      </c>
      <c r="B10">
        <v>0.97087121853709513</v>
      </c>
      <c r="C10">
        <v>0.17091282334590108</v>
      </c>
      <c r="D10">
        <v>-4.730439153978009E-2</v>
      </c>
    </row>
    <row r="11" spans="1:4" ht="16.5" x14ac:dyDescent="0.45">
      <c r="A11" s="7">
        <v>11.9</v>
      </c>
      <c r="B11">
        <v>0.83697922335276098</v>
      </c>
      <c r="C11">
        <v>0.22366750347613409</v>
      </c>
      <c r="D11">
        <v>-0.10489234645777323</v>
      </c>
    </row>
    <row r="12" spans="1:4" ht="16.5" x14ac:dyDescent="0.45">
      <c r="A12" s="7">
        <v>13.1</v>
      </c>
      <c r="B12">
        <v>0.74257611154076519</v>
      </c>
      <c r="C12">
        <v>0.26778399036866812</v>
      </c>
      <c r="D12">
        <v>-0.1172326225116289</v>
      </c>
    </row>
    <row r="13" spans="1:4" ht="16.5" x14ac:dyDescent="0.45">
      <c r="A13" s="7">
        <v>13.9</v>
      </c>
      <c r="B13">
        <v>0.72806487260542629</v>
      </c>
      <c r="C13">
        <v>0.30366834365014816</v>
      </c>
      <c r="D13">
        <v>-0.11908562496084241</v>
      </c>
    </row>
    <row r="14" spans="1:4" ht="16.5" x14ac:dyDescent="0.45">
      <c r="A14" s="7">
        <v>15.1</v>
      </c>
      <c r="B14">
        <v>0.71371201379832694</v>
      </c>
      <c r="C14">
        <v>0.33720128706994973</v>
      </c>
      <c r="D14">
        <v>-0.12079463228370996</v>
      </c>
    </row>
    <row r="15" spans="1:4" ht="16.5" x14ac:dyDescent="0.45">
      <c r="A15" s="7">
        <v>16</v>
      </c>
      <c r="B15">
        <v>0.7254144918592299</v>
      </c>
      <c r="C15">
        <v>0.35806112407739954</v>
      </c>
      <c r="D15">
        <v>-0.1280264688166019</v>
      </c>
    </row>
  </sheetData>
  <conditionalFormatting sqref="A1">
    <cfRule type="expression" dxfId="0" priority="1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V=15</vt:lpstr>
      <vt:lpstr>V=20</vt:lpstr>
      <vt:lpstr>V=25</vt:lpstr>
      <vt:lpstr>V=30</vt:lpstr>
      <vt:lpstr>V=35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markella teggeri</dc:creator>
  <cp:lastModifiedBy>Markella Teggeri</cp:lastModifiedBy>
  <dcterms:created xsi:type="dcterms:W3CDTF">2026-03-25T10:20:50Z</dcterms:created>
  <dcterms:modified xsi:type="dcterms:W3CDTF">2026-05-06T12:35:03Z</dcterms:modified>
</cp:coreProperties>
</file>